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mar\Downloads\"/>
    </mc:Choice>
  </mc:AlternateContent>
  <xr:revisionPtr revIDLastSave="0" documentId="13_ncr:1_{58FF8AD4-C3AA-4AD1-9548-52EAC5CE30C3}" xr6:coauthVersionLast="47" xr6:coauthVersionMax="47" xr10:uidLastSave="{00000000-0000-0000-0000-000000000000}"/>
  <bookViews>
    <workbookView xWindow="-105" yWindow="0" windowWidth="14610" windowHeight="17385" firstSheet="1" activeTab="6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PKKP" sheetId="10" r:id="rId6"/>
    <sheet name="PPM" sheetId="8" r:id="rId7"/>
    <sheet name="PDRB_ADHK" sheetId="9" r:id="rId8"/>
    <sheet name="PPDRB_ADHK" sheetId="6" r:id="rId9"/>
    <sheet name="TPT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9" l="1"/>
  <c r="L45" i="9"/>
  <c r="K45" i="9"/>
  <c r="J45" i="9"/>
  <c r="I45" i="9"/>
  <c r="M44" i="9"/>
  <c r="L44" i="9"/>
  <c r="K44" i="9"/>
  <c r="J44" i="9"/>
  <c r="I44" i="9"/>
  <c r="M43" i="9"/>
  <c r="L43" i="9"/>
  <c r="K43" i="9"/>
  <c r="J43" i="9"/>
  <c r="I43" i="9"/>
  <c r="M45" i="8"/>
  <c r="L45" i="8"/>
  <c r="K45" i="8"/>
  <c r="J45" i="8"/>
  <c r="I45" i="8"/>
  <c r="M44" i="8"/>
  <c r="L44" i="8"/>
  <c r="K44" i="8"/>
  <c r="J44" i="8"/>
  <c r="I44" i="8"/>
  <c r="M43" i="8"/>
  <c r="L43" i="8"/>
  <c r="K43" i="8"/>
  <c r="J43" i="8"/>
  <c r="I43" i="8"/>
  <c r="M45" i="7"/>
  <c r="L45" i="7"/>
  <c r="K45" i="7"/>
  <c r="J45" i="7"/>
  <c r="I45" i="7"/>
  <c r="M43" i="7"/>
  <c r="L43" i="7"/>
  <c r="K43" i="7"/>
  <c r="J43" i="7"/>
  <c r="I43" i="7"/>
  <c r="M44" i="7"/>
  <c r="L44" i="7"/>
  <c r="K44" i="7"/>
  <c r="J44" i="7"/>
  <c r="I44" i="7"/>
  <c r="M44" i="6"/>
  <c r="L44" i="6"/>
  <c r="K44" i="6"/>
  <c r="J44" i="6"/>
  <c r="I44" i="6"/>
</calcChain>
</file>

<file path=xl/sharedStrings.xml><?xml version="1.0" encoding="utf-8"?>
<sst xmlns="http://schemas.openxmlformats.org/spreadsheetml/2006/main" count="916" uniqueCount="67">
  <si>
    <t>Provinsi</t>
  </si>
  <si>
    <t>Kabupaten/Kota</t>
  </si>
  <si>
    <t>IPM</t>
  </si>
  <si>
    <t>IPG</t>
  </si>
  <si>
    <t>PPM</t>
  </si>
  <si>
    <t>PDRB_ADHK</t>
  </si>
  <si>
    <t>RLS</t>
  </si>
  <si>
    <t>AHH_L</t>
  </si>
  <si>
    <t>AHH_P</t>
  </si>
  <si>
    <t>GK</t>
  </si>
  <si>
    <t>PKKP</t>
  </si>
  <si>
    <t>TPT</t>
  </si>
  <si>
    <t>TPAK</t>
  </si>
  <si>
    <t>GR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</si>
  <si>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</si>
  <si>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</si>
  <si>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</si>
  <si>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</si>
  <si>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</si>
  <si>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</si>
  <si>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</si>
  <si>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</si>
  <si>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</si>
  <si>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</si>
  <si>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</si>
  <si>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</si>
  <si>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</si>
  <si>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</si>
  <si>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</si>
  <si>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</si>
  <si>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</si>
  <si>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</si>
  <si>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</si>
  <si>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</si>
  <si>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</si>
  <si>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</si>
  <si>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</si>
  <si>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</si>
  <si>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</si>
  <si>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</si>
  <si>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</si>
  <si>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</si>
  <si>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</si>
  <si>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</si>
  <si>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</si>
  <si>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</si>
  <si>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</si>
  <si>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</si>
  <si>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</si>
  <si>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</si>
  <si>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</si>
  <si>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</si>
  <si>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</si>
  <si>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</si>
  <si>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</si>
  <si>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</si>
  <si>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</si>
  <si>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</si>
  <si>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Source: https://www.bps.go.id/id/publication/2025/09/15/a1daf2f268d53d17506677ac/tinjauan-regional-berdasarkan-pdrb-kabupaten-kota-2020-2024--buku-2-pulau-jawa-bali.html</t>
  </si>
  <si>
    <t>Rata-rata:</t>
  </si>
  <si>
    <t>Max:</t>
  </si>
  <si>
    <t>Min:</t>
  </si>
  <si>
    <t>Source:</t>
  </si>
  <si>
    <t>Tingkat Pengangguran Terbuka Kabupaten/Kota - Tabel Statistik - Badan Pusat Statistik Provinsi Jawa Barat</t>
  </si>
  <si>
    <t>Tingkat Pengangguran Terbuka (TPT) Menurut Kabupaten/Kota di Provinsi Banten - Tabel Statistik - Badan Pusat Statistik Provinsi Banten</t>
  </si>
  <si>
    <t>Tingkat Pengangguran Terbuka (TPT) Provinsi DKI Jakarta Menurut Kabupaten/Kota - Tabel Statistik - Badan Pusat Statistik Provinsi DKI Jakarta</t>
  </si>
  <si>
    <t>Prevalensi Ketidakcukupan Konsumsi Pangan (Persen) Per Kabupaten/kota - Tabel Statistik - Badan Pusat Statistik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</si>
</sst>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0" xfId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2/MjI2OSMy/prevalensi-ketidakcukupan-konsumsi-pangan--persen--per-kabupaten-kota--persen-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jakarta.bps.go.id/id/statistics-table/2/ODQjMg==/tingkat-pengangguran-terbuka-tpt-provinsi-dki-jakarta-menurut-kabupaten-kota.html" TargetMode="External"/><Relationship Id="rId2" Type="http://schemas.openxmlformats.org/officeDocument/2006/relationships/hyperlink" Target="https://banten.bps.go.id/id/statistics-table/2/MTU3IzI=/tingkat-pengangguran-terbuka-tpt-menurut-kabupaten-kota.html" TargetMode="External"/><Relationship Id="rId1" Type="http://schemas.openxmlformats.org/officeDocument/2006/relationships/hyperlink" Target="https://jabar.bps.go.id/id/statistics-table/2/NzMjMg==/tingkat-pengangguran-terbuka-kabupaten-ko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7"/>
  <sheetViews>
    <sheetView topLeftCell="E2" workbookViewId="0">
      <selection activeCell="K2" sqref="K2:K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71.63</v>
      </c>
      <c r="D2" s="4">
        <v>93.39</v>
      </c>
      <c r="E2" s="6">
        <v>14.87</v>
      </c>
      <c r="F2" s="6">
        <v>3706.25</v>
      </c>
      <c r="G2" s="6">
        <v>8.68</v>
      </c>
      <c r="H2" s="4">
        <v>66.67</v>
      </c>
      <c r="I2" s="4">
        <v>70.739999999999995</v>
      </c>
      <c r="J2" s="4">
        <v>661852</v>
      </c>
      <c r="K2" s="4">
        <v>2.86</v>
      </c>
      <c r="L2" s="7">
        <v>7.37</v>
      </c>
      <c r="M2" s="7">
        <v>60.7</v>
      </c>
      <c r="N2" s="1">
        <v>0.30599999999999999</v>
      </c>
    </row>
    <row r="3" spans="1:14" ht="15.75" customHeight="1" x14ac:dyDescent="0.25">
      <c r="A3" s="3" t="s">
        <v>14</v>
      </c>
      <c r="B3" s="3" t="s">
        <v>16</v>
      </c>
      <c r="C3" s="4">
        <v>84.72</v>
      </c>
      <c r="D3" s="4">
        <v>96.14</v>
      </c>
      <c r="E3" s="6">
        <v>3.43</v>
      </c>
      <c r="F3" s="6">
        <v>419257.19</v>
      </c>
      <c r="G3" s="6">
        <v>11.63</v>
      </c>
      <c r="H3" s="4">
        <v>72.23</v>
      </c>
      <c r="I3" s="4">
        <v>76.040000000000006</v>
      </c>
      <c r="J3" s="4">
        <v>782731</v>
      </c>
      <c r="K3" s="4">
        <v>1.5</v>
      </c>
      <c r="L3" s="7">
        <v>10.79</v>
      </c>
      <c r="M3" s="7">
        <v>63.81</v>
      </c>
      <c r="N3" s="1">
        <v>0.42699999999999999</v>
      </c>
    </row>
    <row r="4" spans="1:14" ht="15.75" customHeight="1" x14ac:dyDescent="0.25">
      <c r="A4" s="3" t="s">
        <v>14</v>
      </c>
      <c r="B4" s="3" t="s">
        <v>17</v>
      </c>
      <c r="C4" s="4">
        <v>82.66</v>
      </c>
      <c r="D4" s="4">
        <v>95.48</v>
      </c>
      <c r="E4" s="6">
        <v>4.16</v>
      </c>
      <c r="F4" s="6">
        <v>299515.15999999997</v>
      </c>
      <c r="G4" s="6">
        <v>11.66</v>
      </c>
      <c r="H4" s="4">
        <v>72.599999999999994</v>
      </c>
      <c r="I4" s="4">
        <v>76.22</v>
      </c>
      <c r="J4" s="4">
        <v>581954</v>
      </c>
      <c r="K4" s="4">
        <v>2.1800000000000002</v>
      </c>
      <c r="L4" s="7">
        <v>9.2899999999999991</v>
      </c>
      <c r="M4" s="7">
        <v>61.98</v>
      </c>
      <c r="N4" s="1">
        <v>0.36299999999999999</v>
      </c>
    </row>
    <row r="5" spans="1:14" ht="15.75" customHeight="1" x14ac:dyDescent="0.25">
      <c r="A5" s="3" t="s">
        <v>14</v>
      </c>
      <c r="B5" s="3" t="s">
        <v>18</v>
      </c>
      <c r="C5" s="4">
        <v>81.39</v>
      </c>
      <c r="D5" s="4">
        <v>96</v>
      </c>
      <c r="E5" s="6">
        <v>4.51</v>
      </c>
      <c r="F5" s="6">
        <v>449518.14</v>
      </c>
      <c r="G5" s="6">
        <v>11.38</v>
      </c>
      <c r="H5" s="4">
        <v>72.22</v>
      </c>
      <c r="I5" s="4">
        <v>75.92</v>
      </c>
      <c r="J5" s="4">
        <v>672328</v>
      </c>
      <c r="K5" s="4">
        <v>1.97</v>
      </c>
      <c r="L5" s="7">
        <v>10.97</v>
      </c>
      <c r="M5" s="7">
        <v>63.73</v>
      </c>
      <c r="N5" s="1">
        <v>0.39</v>
      </c>
    </row>
    <row r="6" spans="1:14" ht="15.75" customHeight="1" x14ac:dyDescent="0.25">
      <c r="A6" s="3" t="s">
        <v>14</v>
      </c>
      <c r="B6" s="3" t="s">
        <v>19</v>
      </c>
      <c r="C6" s="4">
        <v>81.38</v>
      </c>
      <c r="D6" s="4">
        <v>95.16</v>
      </c>
      <c r="E6" s="6">
        <v>4.25</v>
      </c>
      <c r="F6" s="6">
        <v>316172.61</v>
      </c>
      <c r="G6" s="6">
        <v>10.63</v>
      </c>
      <c r="H6" s="4">
        <v>71.72</v>
      </c>
      <c r="I6" s="4">
        <v>75.430000000000007</v>
      </c>
      <c r="J6" s="4">
        <v>557803</v>
      </c>
      <c r="K6" s="4">
        <v>1.78</v>
      </c>
      <c r="L6" s="7">
        <v>12.27</v>
      </c>
      <c r="M6" s="7">
        <v>64.37</v>
      </c>
      <c r="N6" s="1">
        <v>0.38</v>
      </c>
    </row>
    <row r="7" spans="1:14" ht="15.75" customHeight="1" x14ac:dyDescent="0.25">
      <c r="A7" s="3" t="s">
        <v>14</v>
      </c>
      <c r="B7" s="3" t="s">
        <v>20</v>
      </c>
      <c r="C7" s="4">
        <v>80.290000000000006</v>
      </c>
      <c r="D7" s="4">
        <v>93.53</v>
      </c>
      <c r="E7" s="6">
        <v>6.78</v>
      </c>
      <c r="F7" s="6">
        <v>312100.58</v>
      </c>
      <c r="G7" s="6">
        <v>10.8</v>
      </c>
      <c r="H7" s="4">
        <v>71.36</v>
      </c>
      <c r="I7" s="4">
        <v>75.13</v>
      </c>
      <c r="J7" s="4">
        <v>594240</v>
      </c>
      <c r="K7" s="4">
        <v>2.1800000000000002</v>
      </c>
      <c r="L7" s="7">
        <v>11.79</v>
      </c>
      <c r="M7" s="7">
        <v>65.97</v>
      </c>
      <c r="N7" s="1">
        <v>0.41299999999999998</v>
      </c>
    </row>
    <row r="8" spans="1:14" ht="15.75" customHeight="1" x14ac:dyDescent="0.25">
      <c r="A8" s="3" t="s">
        <v>21</v>
      </c>
      <c r="B8" s="3" t="s">
        <v>22</v>
      </c>
      <c r="C8" s="4">
        <v>70.400000000000006</v>
      </c>
      <c r="D8" s="4">
        <v>89.23</v>
      </c>
      <c r="E8" s="6">
        <v>7.69</v>
      </c>
      <c r="F8" s="6">
        <v>154113.60000000001</v>
      </c>
      <c r="G8" s="6">
        <v>8.3000000000000007</v>
      </c>
      <c r="H8" s="4">
        <v>69.239999999999995</v>
      </c>
      <c r="I8" s="4">
        <v>73.06</v>
      </c>
      <c r="J8" s="4">
        <v>402877</v>
      </c>
      <c r="K8" s="4">
        <v>4.0599999999999996</v>
      </c>
      <c r="L8" s="7">
        <v>14.29</v>
      </c>
      <c r="M8" s="7">
        <v>62.65</v>
      </c>
      <c r="N8" s="1">
        <v>0.38100000000000001</v>
      </c>
    </row>
    <row r="9" spans="1:14" ht="15.75" customHeight="1" x14ac:dyDescent="0.25">
      <c r="A9" s="3" t="s">
        <v>21</v>
      </c>
      <c r="B9" s="3" t="s">
        <v>23</v>
      </c>
      <c r="C9" s="4">
        <v>66.88</v>
      </c>
      <c r="D9" s="4">
        <v>87.37</v>
      </c>
      <c r="E9" s="6">
        <v>7.09</v>
      </c>
      <c r="F9" s="6">
        <v>46205.279999999999</v>
      </c>
      <c r="G9" s="6">
        <v>7.07</v>
      </c>
      <c r="H9" s="4">
        <v>69.03</v>
      </c>
      <c r="I9" s="4">
        <v>72.87</v>
      </c>
      <c r="J9" s="4">
        <v>328284</v>
      </c>
      <c r="K9" s="4">
        <v>4.8899999999999997</v>
      </c>
      <c r="L9" s="7">
        <v>9.6</v>
      </c>
      <c r="M9" s="7">
        <v>61.56</v>
      </c>
      <c r="N9" s="1">
        <v>0.33400000000000002</v>
      </c>
    </row>
    <row r="10" spans="1:14" ht="15.75" customHeight="1" x14ac:dyDescent="0.25">
      <c r="A10" s="3" t="s">
        <v>21</v>
      </c>
      <c r="B10" s="3" t="s">
        <v>24</v>
      </c>
      <c r="C10" s="4">
        <v>65.36</v>
      </c>
      <c r="D10" s="4">
        <v>84.14</v>
      </c>
      <c r="E10" s="6">
        <v>10.36</v>
      </c>
      <c r="F10" s="6">
        <v>31792.32</v>
      </c>
      <c r="G10" s="6">
        <v>7.18</v>
      </c>
      <c r="H10" s="4">
        <v>68.17</v>
      </c>
      <c r="I10" s="4">
        <v>72.03</v>
      </c>
      <c r="J10" s="4">
        <v>371699</v>
      </c>
      <c r="K10" s="4">
        <v>4.75</v>
      </c>
      <c r="L10" s="7">
        <v>11.05</v>
      </c>
      <c r="M10" s="7">
        <v>69.260000000000005</v>
      </c>
      <c r="N10" s="1">
        <v>0.35</v>
      </c>
    </row>
    <row r="11" spans="1:14" ht="15.75" customHeight="1" x14ac:dyDescent="0.25">
      <c r="A11" s="3" t="s">
        <v>21</v>
      </c>
      <c r="B11" s="3" t="s">
        <v>25</v>
      </c>
      <c r="C11" s="4">
        <v>72.39</v>
      </c>
      <c r="D11" s="4">
        <v>93.95</v>
      </c>
      <c r="E11" s="6">
        <v>6.91</v>
      </c>
      <c r="F11" s="6">
        <v>81060.97</v>
      </c>
      <c r="G11" s="6">
        <v>8.9600000000000009</v>
      </c>
      <c r="H11" s="4">
        <v>71.67</v>
      </c>
      <c r="I11" s="4">
        <v>75.34</v>
      </c>
      <c r="J11" s="4">
        <v>367403</v>
      </c>
      <c r="K11" s="4">
        <v>5.07</v>
      </c>
      <c r="L11" s="7">
        <v>8.58</v>
      </c>
      <c r="M11" s="7">
        <v>62.2</v>
      </c>
      <c r="N11" s="1">
        <v>0.41399999999999998</v>
      </c>
    </row>
    <row r="12" spans="1:14" ht="15.75" customHeight="1" x14ac:dyDescent="0.25">
      <c r="A12" s="3" t="s">
        <v>21</v>
      </c>
      <c r="B12" s="3" t="s">
        <v>26</v>
      </c>
      <c r="C12" s="4">
        <v>66.12</v>
      </c>
      <c r="D12" s="4">
        <v>82.29</v>
      </c>
      <c r="E12" s="6">
        <v>9.98</v>
      </c>
      <c r="F12" s="6">
        <v>38598.43</v>
      </c>
      <c r="G12" s="6">
        <v>7.52</v>
      </c>
      <c r="H12" s="4">
        <v>69.489999999999995</v>
      </c>
      <c r="I12" s="4">
        <v>73.3</v>
      </c>
      <c r="J12" s="4">
        <v>310437</v>
      </c>
      <c r="K12" s="4">
        <v>4.0599999999999996</v>
      </c>
      <c r="L12" s="7">
        <v>8.9499999999999993</v>
      </c>
      <c r="M12" s="7">
        <v>61.11</v>
      </c>
      <c r="N12" s="1">
        <v>0.35199999999999998</v>
      </c>
    </row>
    <row r="13" spans="1:14" ht="15.75" customHeight="1" x14ac:dyDescent="0.25">
      <c r="A13" s="3" t="s">
        <v>21</v>
      </c>
      <c r="B13" s="3" t="s">
        <v>27</v>
      </c>
      <c r="C13" s="4">
        <v>65.67</v>
      </c>
      <c r="D13" s="4">
        <v>86.02</v>
      </c>
      <c r="E13" s="6">
        <v>10.34</v>
      </c>
      <c r="F13" s="6">
        <v>24344.86</v>
      </c>
      <c r="G13" s="6">
        <v>7.35</v>
      </c>
      <c r="H13" s="4">
        <v>67.510000000000005</v>
      </c>
      <c r="I13" s="4">
        <v>71.39</v>
      </c>
      <c r="J13" s="4">
        <v>323880</v>
      </c>
      <c r="K13" s="4">
        <v>5.64</v>
      </c>
      <c r="L13" s="7">
        <v>7.12</v>
      </c>
      <c r="M13" s="7">
        <v>69.540000000000006</v>
      </c>
      <c r="N13" s="1">
        <v>0.34300000000000003</v>
      </c>
    </row>
    <row r="14" spans="1:14" ht="15.75" customHeight="1" x14ac:dyDescent="0.25">
      <c r="A14" s="3" t="s">
        <v>21</v>
      </c>
      <c r="B14" s="3" t="s">
        <v>28</v>
      </c>
      <c r="C14" s="4">
        <v>70.489999999999995</v>
      </c>
      <c r="D14" s="4">
        <v>86.61</v>
      </c>
      <c r="E14" s="6">
        <v>7.62</v>
      </c>
      <c r="F14" s="6">
        <v>21970.41</v>
      </c>
      <c r="G14" s="5">
        <v>7.7</v>
      </c>
      <c r="H14" s="4">
        <v>69.92</v>
      </c>
      <c r="I14" s="4">
        <v>73.72</v>
      </c>
      <c r="J14" s="4">
        <v>378108</v>
      </c>
      <c r="K14" s="4">
        <v>5.1100000000000003</v>
      </c>
      <c r="L14" s="7">
        <v>5.66</v>
      </c>
      <c r="M14" s="7">
        <v>71.41</v>
      </c>
      <c r="N14" s="1">
        <v>0.33600000000000002</v>
      </c>
    </row>
    <row r="15" spans="1:14" ht="15.75" customHeight="1" x14ac:dyDescent="0.25">
      <c r="A15" s="3" t="s">
        <v>21</v>
      </c>
      <c r="B15" s="3" t="s">
        <v>29</v>
      </c>
      <c r="C15" s="4">
        <v>69.38</v>
      </c>
      <c r="D15" s="4">
        <v>86.81</v>
      </c>
      <c r="E15" s="6">
        <v>12.82</v>
      </c>
      <c r="F15" s="6">
        <v>16882.759999999998</v>
      </c>
      <c r="G15" s="6">
        <v>7.57</v>
      </c>
      <c r="H15" s="4">
        <v>71.72</v>
      </c>
      <c r="I15" s="4">
        <v>75.42</v>
      </c>
      <c r="J15" s="4">
        <v>352358</v>
      </c>
      <c r="K15" s="4">
        <v>3.51</v>
      </c>
      <c r="L15" s="7">
        <v>11.22</v>
      </c>
      <c r="M15" s="7">
        <v>61.98</v>
      </c>
      <c r="N15" s="1">
        <v>0.36099999999999999</v>
      </c>
    </row>
    <row r="16" spans="1:14" ht="15.75" customHeight="1" x14ac:dyDescent="0.25">
      <c r="A16" s="3" t="s">
        <v>21</v>
      </c>
      <c r="B16" s="3" t="s">
        <v>30</v>
      </c>
      <c r="C16" s="4">
        <v>68.75</v>
      </c>
      <c r="D16" s="4">
        <v>83.47</v>
      </c>
      <c r="E16" s="6">
        <v>11.24</v>
      </c>
      <c r="F16" s="6">
        <v>33304.050000000003</v>
      </c>
      <c r="G16" s="6">
        <v>6.92</v>
      </c>
      <c r="H16" s="4">
        <v>70.08</v>
      </c>
      <c r="I16" s="4">
        <v>73.87</v>
      </c>
      <c r="J16" s="4">
        <v>393452</v>
      </c>
      <c r="K16" s="4">
        <v>5.41</v>
      </c>
      <c r="L16" s="7">
        <v>11.52</v>
      </c>
      <c r="M16" s="7">
        <v>63.79</v>
      </c>
      <c r="N16" s="1">
        <v>0.33800000000000002</v>
      </c>
    </row>
    <row r="17" spans="1:14" ht="15.75" customHeight="1" x14ac:dyDescent="0.25">
      <c r="A17" s="3" t="s">
        <v>21</v>
      </c>
      <c r="B17" s="3" t="s">
        <v>31</v>
      </c>
      <c r="C17" s="4">
        <v>67.59</v>
      </c>
      <c r="D17" s="4">
        <v>85.91</v>
      </c>
      <c r="E17" s="6">
        <v>11.43</v>
      </c>
      <c r="F17" s="6">
        <v>21754.54</v>
      </c>
      <c r="G17" s="6">
        <v>7.27</v>
      </c>
      <c r="H17" s="4">
        <v>68.31</v>
      </c>
      <c r="I17" s="4">
        <v>72.180000000000007</v>
      </c>
      <c r="J17" s="4">
        <v>453201</v>
      </c>
      <c r="K17" s="4">
        <v>4.17</v>
      </c>
      <c r="L17" s="7">
        <v>5.84</v>
      </c>
      <c r="M17" s="7">
        <v>69.66</v>
      </c>
      <c r="N17" s="1">
        <v>0.33600000000000002</v>
      </c>
    </row>
    <row r="18" spans="1:14" ht="15.75" customHeight="1" x14ac:dyDescent="0.25">
      <c r="A18" s="3" t="s">
        <v>21</v>
      </c>
      <c r="B18" s="3" t="s">
        <v>32</v>
      </c>
      <c r="C18" s="4">
        <v>71.64</v>
      </c>
      <c r="D18" s="4">
        <v>95.18</v>
      </c>
      <c r="E18" s="6">
        <v>10.26</v>
      </c>
      <c r="F18" s="6">
        <v>23665.01</v>
      </c>
      <c r="G18" s="6">
        <v>8.51</v>
      </c>
      <c r="H18" s="4">
        <v>70.52</v>
      </c>
      <c r="I18" s="4">
        <v>74.3</v>
      </c>
      <c r="J18" s="4">
        <v>353092</v>
      </c>
      <c r="K18" s="4">
        <v>4.01</v>
      </c>
      <c r="L18" s="7">
        <v>9.89</v>
      </c>
      <c r="M18" s="7">
        <v>68.959999999999994</v>
      </c>
      <c r="N18" s="1">
        <v>0.38400000000000001</v>
      </c>
    </row>
    <row r="19" spans="1:14" ht="15.75" customHeight="1" x14ac:dyDescent="0.25">
      <c r="A19" s="3" t="s">
        <v>21</v>
      </c>
      <c r="B19" s="3" t="s">
        <v>33</v>
      </c>
      <c r="C19" s="4">
        <v>67.290000000000006</v>
      </c>
      <c r="D19" s="4">
        <v>88.15</v>
      </c>
      <c r="E19" s="6">
        <v>12.7</v>
      </c>
      <c r="F19" s="6">
        <v>59200</v>
      </c>
      <c r="G19" s="6">
        <v>6.3</v>
      </c>
      <c r="H19" s="4">
        <v>69.72</v>
      </c>
      <c r="I19" s="4">
        <v>73.52</v>
      </c>
      <c r="J19" s="4">
        <v>474807</v>
      </c>
      <c r="K19" s="4">
        <v>4.28</v>
      </c>
      <c r="L19" s="7">
        <v>9.2100000000000009</v>
      </c>
      <c r="M19" s="7">
        <v>69.53</v>
      </c>
      <c r="N19" s="1">
        <v>0.31900000000000001</v>
      </c>
    </row>
    <row r="20" spans="1:14" ht="15.75" customHeight="1" x14ac:dyDescent="0.25">
      <c r="A20" s="3" t="s">
        <v>21</v>
      </c>
      <c r="B20" s="3" t="s">
        <v>34</v>
      </c>
      <c r="C20" s="4">
        <v>68.95</v>
      </c>
      <c r="D20" s="4">
        <v>90.53</v>
      </c>
      <c r="E20" s="6">
        <v>9.31</v>
      </c>
      <c r="F20" s="6">
        <v>28344.32</v>
      </c>
      <c r="G20" s="6">
        <v>7.1</v>
      </c>
      <c r="H20" s="4">
        <v>70.459999999999994</v>
      </c>
      <c r="I20" s="4">
        <v>74.22</v>
      </c>
      <c r="J20" s="4">
        <v>351885</v>
      </c>
      <c r="K20" s="4">
        <v>4.8099999999999996</v>
      </c>
      <c r="L20" s="7">
        <v>9.48</v>
      </c>
      <c r="M20" s="7">
        <v>66.7</v>
      </c>
      <c r="N20" s="1">
        <v>0.35</v>
      </c>
    </row>
    <row r="21" spans="1:14" ht="15.75" customHeight="1" x14ac:dyDescent="0.25">
      <c r="A21" s="3" t="s">
        <v>21</v>
      </c>
      <c r="B21" s="3" t="s">
        <v>35</v>
      </c>
      <c r="C21" s="4">
        <v>70.819999999999993</v>
      </c>
      <c r="D21" s="4">
        <v>86.56</v>
      </c>
      <c r="E21" s="6">
        <v>8.27</v>
      </c>
      <c r="F21" s="6">
        <v>45293.24</v>
      </c>
      <c r="G21" s="6">
        <v>8.09</v>
      </c>
      <c r="H21" s="4">
        <v>69.05</v>
      </c>
      <c r="I21" s="4">
        <v>72.89</v>
      </c>
      <c r="J21" s="4">
        <v>378287</v>
      </c>
      <c r="K21" s="4">
        <v>4.08</v>
      </c>
      <c r="L21" s="7">
        <v>11.07</v>
      </c>
      <c r="M21" s="7">
        <v>60.91</v>
      </c>
      <c r="N21" s="1">
        <v>0.41399999999999998</v>
      </c>
    </row>
    <row r="22" spans="1:14" ht="15.75" customHeight="1" x14ac:dyDescent="0.25">
      <c r="A22" s="3" t="s">
        <v>21</v>
      </c>
      <c r="B22" s="3" t="s">
        <v>36</v>
      </c>
      <c r="C22" s="4">
        <v>70.66</v>
      </c>
      <c r="D22" s="4">
        <v>90.12</v>
      </c>
      <c r="E22" s="6">
        <v>8.26</v>
      </c>
      <c r="F22" s="6">
        <v>157710.59</v>
      </c>
      <c r="G22" s="6">
        <v>7.77</v>
      </c>
      <c r="H22" s="4">
        <v>70.25</v>
      </c>
      <c r="I22" s="4">
        <v>74.03</v>
      </c>
      <c r="J22" s="4">
        <v>466152</v>
      </c>
      <c r="K22" s="4">
        <v>3.79</v>
      </c>
      <c r="L22" s="7">
        <v>11.52</v>
      </c>
      <c r="M22" s="7">
        <v>64.900000000000006</v>
      </c>
      <c r="N22" s="1">
        <v>0.32700000000000001</v>
      </c>
    </row>
    <row r="23" spans="1:14" ht="15.75" customHeight="1" x14ac:dyDescent="0.25">
      <c r="A23" s="3" t="s">
        <v>21</v>
      </c>
      <c r="B23" s="3" t="s">
        <v>37</v>
      </c>
      <c r="C23" s="4">
        <v>74.069999999999993</v>
      </c>
      <c r="D23" s="4">
        <v>88.58</v>
      </c>
      <c r="E23" s="6">
        <v>4.82</v>
      </c>
      <c r="F23" s="6">
        <v>242971.39</v>
      </c>
      <c r="G23" s="6">
        <v>9.1199999999999992</v>
      </c>
      <c r="H23" s="4">
        <v>71.81</v>
      </c>
      <c r="I23" s="4">
        <v>75.5</v>
      </c>
      <c r="J23" s="4">
        <v>518667</v>
      </c>
      <c r="K23" s="4">
        <v>2.2599999999999998</v>
      </c>
      <c r="L23" s="7">
        <v>11.54</v>
      </c>
      <c r="M23" s="7">
        <v>64.23</v>
      </c>
      <c r="N23" s="1">
        <v>0.372</v>
      </c>
    </row>
    <row r="24" spans="1:14" ht="15.75" customHeight="1" x14ac:dyDescent="0.25">
      <c r="A24" s="3" t="s">
        <v>21</v>
      </c>
      <c r="B24" s="3" t="s">
        <v>38</v>
      </c>
      <c r="C24" s="4">
        <v>68.08</v>
      </c>
      <c r="D24" s="4">
        <v>79.06</v>
      </c>
      <c r="E24" s="6">
        <v>10.49</v>
      </c>
      <c r="F24" s="6">
        <v>30640.41</v>
      </c>
      <c r="G24" s="6">
        <v>8.19</v>
      </c>
      <c r="H24" s="4">
        <v>70.430000000000007</v>
      </c>
      <c r="I24" s="4">
        <v>74.2</v>
      </c>
      <c r="J24" s="4">
        <v>362212</v>
      </c>
      <c r="K24" s="4">
        <v>5.07</v>
      </c>
      <c r="L24" s="7">
        <v>12.25</v>
      </c>
      <c r="M24" s="7">
        <v>59.91</v>
      </c>
      <c r="N24" s="1">
        <v>0.376</v>
      </c>
    </row>
    <row r="25" spans="1:14" ht="15.75" customHeight="1" x14ac:dyDescent="0.25">
      <c r="A25" s="3" t="s">
        <v>21</v>
      </c>
      <c r="B25" s="3" t="s">
        <v>39</v>
      </c>
      <c r="C25" s="4">
        <v>68.06</v>
      </c>
      <c r="D25" s="4">
        <v>89.78</v>
      </c>
      <c r="E25" s="6">
        <v>8.99</v>
      </c>
      <c r="F25" s="6">
        <v>7738.97</v>
      </c>
      <c r="G25" s="6">
        <v>7.74</v>
      </c>
      <c r="H25" s="4">
        <v>69.489999999999995</v>
      </c>
      <c r="I25" s="4">
        <v>73.290000000000006</v>
      </c>
      <c r="J25" s="4">
        <v>382264</v>
      </c>
      <c r="K25" s="4">
        <v>4.3899999999999997</v>
      </c>
      <c r="L25" s="7">
        <v>5.08</v>
      </c>
      <c r="M25" s="7">
        <v>76.790000000000006</v>
      </c>
      <c r="N25" s="1">
        <v>0.33500000000000002</v>
      </c>
    </row>
    <row r="26" spans="1:14" ht="15.75" customHeight="1" x14ac:dyDescent="0.25">
      <c r="A26" s="3" t="s">
        <v>21</v>
      </c>
      <c r="B26" s="3" t="s">
        <v>40</v>
      </c>
      <c r="C26" s="4">
        <v>76.11</v>
      </c>
      <c r="D26" s="4">
        <v>91.02</v>
      </c>
      <c r="E26" s="6">
        <v>6.68</v>
      </c>
      <c r="F26" s="6">
        <v>32162.74</v>
      </c>
      <c r="G26" s="6">
        <v>10.33</v>
      </c>
      <c r="H26" s="4">
        <v>71.739999999999995</v>
      </c>
      <c r="I26" s="4">
        <v>75.44</v>
      </c>
      <c r="J26" s="4">
        <v>547399</v>
      </c>
      <c r="K26" s="4">
        <v>2.95</v>
      </c>
      <c r="L26" s="7">
        <v>12.68</v>
      </c>
      <c r="M26" s="7">
        <v>60.81</v>
      </c>
      <c r="N26" s="1">
        <v>0.41199999999999998</v>
      </c>
    </row>
    <row r="27" spans="1:14" x14ac:dyDescent="0.25">
      <c r="A27" s="3" t="s">
        <v>21</v>
      </c>
      <c r="B27" s="3" t="s">
        <v>41</v>
      </c>
      <c r="C27" s="4">
        <v>74.209999999999994</v>
      </c>
      <c r="D27" s="4">
        <v>91.36</v>
      </c>
      <c r="E27" s="5">
        <v>7.7</v>
      </c>
      <c r="F27" s="6">
        <v>8534.7199999999993</v>
      </c>
      <c r="G27" s="6">
        <v>9.59</v>
      </c>
      <c r="H27" s="4">
        <v>70.52</v>
      </c>
      <c r="I27" s="4">
        <v>74.28</v>
      </c>
      <c r="J27" s="4">
        <v>547415</v>
      </c>
      <c r="K27" s="4">
        <v>3.65</v>
      </c>
      <c r="L27" s="7">
        <v>12.17</v>
      </c>
      <c r="M27" s="7">
        <v>55.74</v>
      </c>
      <c r="N27" s="1">
        <v>0.39700000000000002</v>
      </c>
    </row>
    <row r="28" spans="1:14" x14ac:dyDescent="0.25">
      <c r="A28" s="3" t="s">
        <v>21</v>
      </c>
      <c r="B28" s="3" t="s">
        <v>42</v>
      </c>
      <c r="C28" s="4">
        <v>81.510000000000005</v>
      </c>
      <c r="D28" s="4">
        <v>94.68</v>
      </c>
      <c r="E28" s="6">
        <v>3.99</v>
      </c>
      <c r="F28" s="6">
        <v>193144.95</v>
      </c>
      <c r="G28" s="6">
        <v>10.75</v>
      </c>
      <c r="H28" s="4">
        <v>72.45</v>
      </c>
      <c r="I28" s="4">
        <v>75.97</v>
      </c>
      <c r="J28" s="4">
        <v>500452</v>
      </c>
      <c r="K28" s="4">
        <v>2.82</v>
      </c>
      <c r="L28" s="7">
        <v>11.19</v>
      </c>
      <c r="M28" s="7">
        <v>64.709999999999994</v>
      </c>
      <c r="N28" s="1">
        <v>0.40200000000000002</v>
      </c>
    </row>
    <row r="29" spans="1:14" x14ac:dyDescent="0.25">
      <c r="A29" s="3" t="s">
        <v>21</v>
      </c>
      <c r="B29" s="3" t="s">
        <v>43</v>
      </c>
      <c r="C29" s="4">
        <v>74.89</v>
      </c>
      <c r="D29" s="4">
        <v>94.39</v>
      </c>
      <c r="E29" s="6">
        <v>9.52</v>
      </c>
      <c r="F29" s="6">
        <v>16648.21</v>
      </c>
      <c r="G29" s="6">
        <v>9.91</v>
      </c>
      <c r="H29" s="4">
        <v>70.349999999999994</v>
      </c>
      <c r="I29" s="4">
        <v>74.13</v>
      </c>
      <c r="J29" s="4">
        <v>457954</v>
      </c>
      <c r="K29" s="4">
        <v>4.5199999999999996</v>
      </c>
      <c r="L29" s="7">
        <v>10.97</v>
      </c>
      <c r="M29" s="7">
        <v>63.76</v>
      </c>
      <c r="N29" s="1">
        <v>0.42099999999999999</v>
      </c>
    </row>
    <row r="30" spans="1:14" x14ac:dyDescent="0.25">
      <c r="A30" s="3" t="s">
        <v>21</v>
      </c>
      <c r="B30" s="3" t="s">
        <v>44</v>
      </c>
      <c r="C30" s="4">
        <v>81.5</v>
      </c>
      <c r="D30" s="4">
        <v>92.95</v>
      </c>
      <c r="E30" s="6">
        <v>4.38</v>
      </c>
      <c r="F30" s="6">
        <v>67619.240000000005</v>
      </c>
      <c r="G30" s="6">
        <v>11.16</v>
      </c>
      <c r="H30" s="4">
        <v>73.22</v>
      </c>
      <c r="I30" s="4">
        <v>76.709999999999994</v>
      </c>
      <c r="J30" s="4">
        <v>657953</v>
      </c>
      <c r="K30" s="4">
        <v>1.33</v>
      </c>
      <c r="L30" s="7">
        <v>10.68</v>
      </c>
      <c r="M30" s="7">
        <v>64.739999999999995</v>
      </c>
      <c r="N30" s="1">
        <v>0.35199999999999998</v>
      </c>
    </row>
    <row r="31" spans="1:14" x14ac:dyDescent="0.25">
      <c r="A31" s="3" t="s">
        <v>21</v>
      </c>
      <c r="B31" s="3" t="s">
        <v>45</v>
      </c>
      <c r="C31" s="4">
        <v>80.97</v>
      </c>
      <c r="D31" s="4">
        <v>93.01</v>
      </c>
      <c r="E31" s="6">
        <v>2.4500000000000002</v>
      </c>
      <c r="F31" s="6">
        <v>48135.93</v>
      </c>
      <c r="G31" s="6">
        <v>11.28</v>
      </c>
      <c r="H31" s="4">
        <v>72.61</v>
      </c>
      <c r="I31" s="4">
        <v>76.42</v>
      </c>
      <c r="J31" s="4">
        <v>688194</v>
      </c>
      <c r="K31" s="4">
        <v>1.26</v>
      </c>
      <c r="L31" s="7">
        <v>9.8699999999999992</v>
      </c>
      <c r="M31" s="7">
        <v>63.96</v>
      </c>
      <c r="N31" s="1">
        <v>0.34399999999999997</v>
      </c>
    </row>
    <row r="32" spans="1:14" x14ac:dyDescent="0.25">
      <c r="A32" s="3" t="s">
        <v>21</v>
      </c>
      <c r="B32" s="3" t="s">
        <v>46</v>
      </c>
      <c r="C32" s="4">
        <v>77.83</v>
      </c>
      <c r="D32" s="4">
        <v>92.01</v>
      </c>
      <c r="E32" s="6">
        <v>5.1100000000000003</v>
      </c>
      <c r="F32" s="6">
        <v>22340.560000000001</v>
      </c>
      <c r="G32" s="6">
        <v>10.96</v>
      </c>
      <c r="H32" s="4">
        <v>72.19</v>
      </c>
      <c r="I32" s="4">
        <v>75.77</v>
      </c>
      <c r="J32" s="4">
        <v>511375</v>
      </c>
      <c r="K32" s="4">
        <v>2.66</v>
      </c>
      <c r="L32" s="7">
        <v>13.3</v>
      </c>
      <c r="M32" s="7">
        <v>62.67</v>
      </c>
      <c r="N32" s="1">
        <v>0.38</v>
      </c>
    </row>
    <row r="33" spans="1:14" x14ac:dyDescent="0.25">
      <c r="A33" s="3" t="s">
        <v>21</v>
      </c>
      <c r="B33" s="3" t="s">
        <v>47</v>
      </c>
      <c r="C33" s="4">
        <v>73.040000000000006</v>
      </c>
      <c r="D33" s="4">
        <v>91.64</v>
      </c>
      <c r="E33" s="6">
        <v>12.97</v>
      </c>
      <c r="F33" s="6">
        <v>15430.02</v>
      </c>
      <c r="G33" s="6">
        <v>9.33</v>
      </c>
      <c r="H33" s="4">
        <v>70.25</v>
      </c>
      <c r="I33" s="4">
        <v>74.02</v>
      </c>
      <c r="J33" s="4">
        <v>470150</v>
      </c>
      <c r="K33" s="4">
        <v>4.17</v>
      </c>
      <c r="L33" s="7">
        <v>7.99</v>
      </c>
      <c r="M33" s="7">
        <v>66.540000000000006</v>
      </c>
      <c r="N33" s="1">
        <v>0.36599999999999999</v>
      </c>
    </row>
    <row r="34" spans="1:14" x14ac:dyDescent="0.25">
      <c r="A34" s="3" t="s">
        <v>21</v>
      </c>
      <c r="B34" s="3" t="s">
        <v>48</v>
      </c>
      <c r="C34" s="4">
        <v>71.7</v>
      </c>
      <c r="D34" s="4">
        <v>87.17</v>
      </c>
      <c r="E34" s="6">
        <v>6.09</v>
      </c>
      <c r="F34" s="6">
        <v>3251.76</v>
      </c>
      <c r="G34" s="6">
        <v>8.6300000000000008</v>
      </c>
      <c r="H34" s="4">
        <v>69.040000000000006</v>
      </c>
      <c r="I34" s="4">
        <v>72.89</v>
      </c>
      <c r="J34" s="4">
        <v>344363</v>
      </c>
      <c r="K34" s="4">
        <v>3.93</v>
      </c>
      <c r="L34" s="7">
        <v>6.73</v>
      </c>
      <c r="M34" s="7">
        <v>67.349999999999994</v>
      </c>
      <c r="N34" s="1">
        <v>0.312</v>
      </c>
    </row>
    <row r="35" spans="1:14" x14ac:dyDescent="0.25">
      <c r="A35" s="3" t="s">
        <v>49</v>
      </c>
      <c r="B35" s="3" t="s">
        <v>50</v>
      </c>
      <c r="C35" s="4">
        <v>65</v>
      </c>
      <c r="D35" s="4">
        <v>86.71</v>
      </c>
      <c r="E35" s="6">
        <v>9.92</v>
      </c>
      <c r="F35" s="6">
        <v>19511.68</v>
      </c>
      <c r="G35" s="6">
        <v>7.1</v>
      </c>
      <c r="H35" s="4">
        <v>62.69</v>
      </c>
      <c r="I35" s="4">
        <v>66.540000000000006</v>
      </c>
      <c r="J35" s="4">
        <v>361713</v>
      </c>
      <c r="K35" s="4">
        <v>3.6</v>
      </c>
      <c r="L35" s="7">
        <v>9.15</v>
      </c>
      <c r="M35" s="7">
        <v>60.28</v>
      </c>
      <c r="N35" s="1">
        <v>0.30499999999999999</v>
      </c>
    </row>
    <row r="36" spans="1:14" x14ac:dyDescent="0.25">
      <c r="A36" s="3" t="s">
        <v>49</v>
      </c>
      <c r="B36" s="3" t="s">
        <v>51</v>
      </c>
      <c r="C36" s="4">
        <v>63.91</v>
      </c>
      <c r="D36" s="4">
        <v>79.81</v>
      </c>
      <c r="E36" s="6">
        <v>9.24</v>
      </c>
      <c r="F36" s="6">
        <v>20622.04</v>
      </c>
      <c r="G36" s="6">
        <v>6.4</v>
      </c>
      <c r="H36" s="4">
        <v>65.19</v>
      </c>
      <c r="I36" s="4">
        <v>69.13</v>
      </c>
      <c r="J36" s="4">
        <v>334509</v>
      </c>
      <c r="K36" s="4">
        <v>3.14</v>
      </c>
      <c r="L36" s="7">
        <v>9.6300000000000008</v>
      </c>
      <c r="M36" s="7">
        <v>69.97</v>
      </c>
      <c r="N36" s="1">
        <v>0.314</v>
      </c>
    </row>
    <row r="37" spans="1:14" x14ac:dyDescent="0.25">
      <c r="A37" s="3" t="s">
        <v>49</v>
      </c>
      <c r="B37" s="3" t="s">
        <v>52</v>
      </c>
      <c r="C37" s="4">
        <v>71.92</v>
      </c>
      <c r="D37" s="4">
        <v>90.98</v>
      </c>
      <c r="E37" s="6">
        <v>6.23</v>
      </c>
      <c r="F37" s="6">
        <v>93480.39</v>
      </c>
      <c r="G37" s="6">
        <v>8.39</v>
      </c>
      <c r="H37" s="4">
        <v>67.86</v>
      </c>
      <c r="I37" s="4">
        <v>71.81</v>
      </c>
      <c r="J37" s="4">
        <v>520742</v>
      </c>
      <c r="K37" s="4">
        <v>1.84</v>
      </c>
      <c r="L37" s="7">
        <v>13.06</v>
      </c>
      <c r="M37" s="7">
        <v>65.430000000000007</v>
      </c>
      <c r="N37" s="1">
        <v>0.28499999999999998</v>
      </c>
    </row>
    <row r="38" spans="1:14" x14ac:dyDescent="0.25">
      <c r="A38" s="3" t="s">
        <v>49</v>
      </c>
      <c r="B38" s="3" t="s">
        <v>53</v>
      </c>
      <c r="C38" s="4">
        <v>66.7</v>
      </c>
      <c r="D38" s="4">
        <v>92.14</v>
      </c>
      <c r="E38" s="6">
        <v>4.9400000000000004</v>
      </c>
      <c r="F38" s="6">
        <v>52866.43</v>
      </c>
      <c r="G38" s="6">
        <v>7.5</v>
      </c>
      <c r="H38" s="4">
        <v>62.68</v>
      </c>
      <c r="I38" s="4">
        <v>66.5</v>
      </c>
      <c r="J38" s="4">
        <v>341074</v>
      </c>
      <c r="K38" s="4">
        <v>2.44</v>
      </c>
      <c r="L38" s="7">
        <v>12.22</v>
      </c>
      <c r="M38" s="7">
        <v>63.46</v>
      </c>
      <c r="N38" s="1">
        <v>0.30299999999999999</v>
      </c>
    </row>
    <row r="39" spans="1:14" x14ac:dyDescent="0.25">
      <c r="A39" s="3" t="s">
        <v>49</v>
      </c>
      <c r="B39" s="3" t="s">
        <v>54</v>
      </c>
      <c r="C39" s="4">
        <v>78.25</v>
      </c>
      <c r="D39" s="4">
        <v>95.06</v>
      </c>
      <c r="E39" s="6">
        <v>5.22</v>
      </c>
      <c r="F39" s="6">
        <v>102415.7</v>
      </c>
      <c r="G39" s="6">
        <v>10.69</v>
      </c>
      <c r="H39" s="4">
        <v>69.61</v>
      </c>
      <c r="I39" s="4">
        <v>73.489999999999995</v>
      </c>
      <c r="J39" s="4">
        <v>632835</v>
      </c>
      <c r="K39" s="4">
        <v>1.42</v>
      </c>
      <c r="L39" s="7">
        <v>8.6300000000000008</v>
      </c>
      <c r="M39" s="7">
        <v>64.97</v>
      </c>
      <c r="N39" s="1">
        <v>0.33900000000000002</v>
      </c>
    </row>
    <row r="40" spans="1:14" x14ac:dyDescent="0.25">
      <c r="A40" s="3" t="s">
        <v>49</v>
      </c>
      <c r="B40" s="3" t="s">
        <v>55</v>
      </c>
      <c r="C40" s="4">
        <v>73.05</v>
      </c>
      <c r="D40" s="4">
        <v>87.22</v>
      </c>
      <c r="E40" s="6">
        <v>3.69</v>
      </c>
      <c r="F40" s="6">
        <v>73319.12</v>
      </c>
      <c r="G40" s="6">
        <v>9.8699999999999992</v>
      </c>
      <c r="H40" s="4">
        <v>64.66</v>
      </c>
      <c r="I40" s="4">
        <v>68.58</v>
      </c>
      <c r="J40" s="4">
        <v>504571</v>
      </c>
      <c r="K40" s="4">
        <v>2.02</v>
      </c>
      <c r="L40" s="7">
        <v>12.69</v>
      </c>
      <c r="M40" s="7">
        <v>61.83</v>
      </c>
      <c r="N40" s="1">
        <v>0.373</v>
      </c>
    </row>
    <row r="41" spans="1:14" x14ac:dyDescent="0.25">
      <c r="A41" s="3" t="s">
        <v>49</v>
      </c>
      <c r="B41" s="3" t="s">
        <v>56</v>
      </c>
      <c r="C41" s="4">
        <v>72.16</v>
      </c>
      <c r="D41" s="4">
        <v>92.28</v>
      </c>
      <c r="E41" s="6">
        <v>6.06</v>
      </c>
      <c r="F41" s="6">
        <v>22518.66</v>
      </c>
      <c r="G41" s="6">
        <v>8.76</v>
      </c>
      <c r="H41" s="4">
        <v>65.87</v>
      </c>
      <c r="I41" s="4">
        <v>69.94</v>
      </c>
      <c r="J41" s="4">
        <v>411595</v>
      </c>
      <c r="K41" s="4">
        <v>1.29</v>
      </c>
      <c r="L41" s="7">
        <v>9.26</v>
      </c>
      <c r="M41" s="7">
        <v>63.79</v>
      </c>
      <c r="N41" s="1">
        <v>0.35199999999999998</v>
      </c>
    </row>
    <row r="42" spans="1:14" x14ac:dyDescent="0.25">
      <c r="A42" s="3" t="s">
        <v>49</v>
      </c>
      <c r="B42" s="3" t="s">
        <v>57</v>
      </c>
      <c r="C42" s="4">
        <v>81.36</v>
      </c>
      <c r="D42" s="4">
        <v>93.58</v>
      </c>
      <c r="E42" s="6">
        <v>2.29</v>
      </c>
      <c r="F42" s="6">
        <v>59531.08</v>
      </c>
      <c r="G42" s="6">
        <v>11.81</v>
      </c>
      <c r="H42" s="4">
        <v>70.510000000000005</v>
      </c>
      <c r="I42" s="4">
        <v>74.31</v>
      </c>
      <c r="J42" s="4">
        <v>643083</v>
      </c>
      <c r="K42" s="4">
        <v>1.51</v>
      </c>
      <c r="L42" s="7">
        <v>8.48</v>
      </c>
      <c r="M42" s="7">
        <v>62.49</v>
      </c>
      <c r="N42" s="1">
        <v>0.36799999999999999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7"/>
  <sheetViews>
    <sheetView topLeftCell="E2" workbookViewId="0">
      <selection activeCell="K2" sqref="K2:K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72.099999999999994</v>
      </c>
      <c r="D2" s="4">
        <v>93.39</v>
      </c>
      <c r="E2" s="6">
        <v>15.06</v>
      </c>
      <c r="F2" s="6">
        <v>3648.88</v>
      </c>
      <c r="G2" s="6">
        <v>8.81</v>
      </c>
      <c r="H2" s="4">
        <v>66.84</v>
      </c>
      <c r="I2" s="4">
        <v>71.03</v>
      </c>
      <c r="J2" s="4">
        <v>670785</v>
      </c>
      <c r="K2" s="4">
        <v>2.41</v>
      </c>
      <c r="L2" s="7">
        <v>8.58</v>
      </c>
      <c r="M2" s="7">
        <v>65.45</v>
      </c>
      <c r="N2" s="1">
        <v>0.245</v>
      </c>
    </row>
    <row r="3" spans="1:14" ht="15.75" customHeight="1" x14ac:dyDescent="0.25">
      <c r="A3" s="3" t="s">
        <v>14</v>
      </c>
      <c r="B3" s="3" t="s">
        <v>16</v>
      </c>
      <c r="C3" s="4">
        <v>84.9</v>
      </c>
      <c r="D3" s="4">
        <v>96.28</v>
      </c>
      <c r="E3" s="6">
        <v>3.56</v>
      </c>
      <c r="F3" s="6">
        <v>429278</v>
      </c>
      <c r="G3" s="6">
        <v>11.64</v>
      </c>
      <c r="H3" s="4">
        <v>72.33</v>
      </c>
      <c r="I3" s="4">
        <v>76.12</v>
      </c>
      <c r="J3" s="4">
        <v>792684</v>
      </c>
      <c r="K3" s="4">
        <v>1.63</v>
      </c>
      <c r="L3" s="7">
        <v>7.33</v>
      </c>
      <c r="M3" s="7">
        <v>61.44</v>
      </c>
      <c r="N3" s="1">
        <v>0.38300000000000001</v>
      </c>
    </row>
    <row r="4" spans="1:14" ht="15.75" customHeight="1" x14ac:dyDescent="0.25">
      <c r="A4" s="3" t="s">
        <v>14</v>
      </c>
      <c r="B4" s="3" t="s">
        <v>17</v>
      </c>
      <c r="C4" s="4">
        <v>82.97</v>
      </c>
      <c r="D4" s="4">
        <v>95.44</v>
      </c>
      <c r="E4" s="6">
        <v>4.28</v>
      </c>
      <c r="F4" s="6">
        <v>313816.5</v>
      </c>
      <c r="G4" s="6">
        <v>11.67</v>
      </c>
      <c r="H4" s="4">
        <v>72.7</v>
      </c>
      <c r="I4" s="4">
        <v>76.27</v>
      </c>
      <c r="J4" s="4">
        <v>594849</v>
      </c>
      <c r="K4" s="4">
        <v>2.2400000000000002</v>
      </c>
      <c r="L4" s="7">
        <v>8.23</v>
      </c>
      <c r="M4" s="7">
        <v>60.85</v>
      </c>
      <c r="N4" s="1">
        <v>0.374</v>
      </c>
    </row>
    <row r="5" spans="1:14" ht="15.75" customHeight="1" x14ac:dyDescent="0.25">
      <c r="A5" s="3" t="s">
        <v>14</v>
      </c>
      <c r="B5" s="3" t="s">
        <v>18</v>
      </c>
      <c r="C5" s="4">
        <v>81.56</v>
      </c>
      <c r="D5" s="4">
        <v>96.11</v>
      </c>
      <c r="E5" s="6">
        <v>4.9400000000000004</v>
      </c>
      <c r="F5" s="6">
        <v>460024.3</v>
      </c>
      <c r="G5" s="6">
        <v>11.39</v>
      </c>
      <c r="H5" s="4">
        <v>72.3</v>
      </c>
      <c r="I5" s="4">
        <v>76</v>
      </c>
      <c r="J5" s="4">
        <v>689379</v>
      </c>
      <c r="K5" s="4">
        <v>3.08</v>
      </c>
      <c r="L5" s="7">
        <v>7.75</v>
      </c>
      <c r="M5" s="7">
        <v>63.17</v>
      </c>
      <c r="N5" s="1">
        <v>0.39700000000000002</v>
      </c>
    </row>
    <row r="6" spans="1:14" ht="15.75" customHeight="1" x14ac:dyDescent="0.25">
      <c r="A6" s="3" t="s">
        <v>14</v>
      </c>
      <c r="B6" s="3" t="s">
        <v>19</v>
      </c>
      <c r="C6" s="4">
        <v>81.760000000000005</v>
      </c>
      <c r="D6" s="4">
        <v>95.37</v>
      </c>
      <c r="E6" s="6">
        <v>4.3099999999999996</v>
      </c>
      <c r="F6" s="6">
        <v>327613.09999999998</v>
      </c>
      <c r="G6" s="6">
        <v>10.78</v>
      </c>
      <c r="H6" s="4">
        <v>71.819999999999993</v>
      </c>
      <c r="I6" s="4">
        <v>75.489999999999995</v>
      </c>
      <c r="J6" s="4">
        <v>570330</v>
      </c>
      <c r="K6" s="4">
        <v>2</v>
      </c>
      <c r="L6" s="7">
        <v>9.06</v>
      </c>
      <c r="M6" s="7">
        <v>63.21</v>
      </c>
      <c r="N6" s="1">
        <v>0.36599999999999999</v>
      </c>
    </row>
    <row r="7" spans="1:14" ht="15.75" customHeight="1" x14ac:dyDescent="0.25">
      <c r="A7" s="3" t="s">
        <v>14</v>
      </c>
      <c r="B7" s="3" t="s">
        <v>20</v>
      </c>
      <c r="C7" s="4">
        <v>80.510000000000005</v>
      </c>
      <c r="D7" s="4">
        <v>93.6</v>
      </c>
      <c r="E7" s="6">
        <v>7.24</v>
      </c>
      <c r="F7" s="6">
        <v>330883.90000000002</v>
      </c>
      <c r="G7" s="6">
        <v>10.81</v>
      </c>
      <c r="H7" s="4">
        <v>71.44</v>
      </c>
      <c r="I7" s="4">
        <v>75.22</v>
      </c>
      <c r="J7" s="4">
        <v>609310</v>
      </c>
      <c r="K7" s="4">
        <v>2.63</v>
      </c>
      <c r="L7" s="7">
        <v>9.84</v>
      </c>
      <c r="M7" s="7">
        <v>65.790000000000006</v>
      </c>
      <c r="N7" s="1">
        <v>0.51500000000000001</v>
      </c>
    </row>
    <row r="8" spans="1:14" ht="15.75" customHeight="1" x14ac:dyDescent="0.25">
      <c r="A8" s="3" t="s">
        <v>21</v>
      </c>
      <c r="B8" s="3" t="s">
        <v>22</v>
      </c>
      <c r="C8" s="4">
        <v>70.599999999999994</v>
      </c>
      <c r="D8" s="4">
        <v>89.4</v>
      </c>
      <c r="E8" s="6">
        <v>8.1300000000000008</v>
      </c>
      <c r="F8" s="6">
        <v>159589.6</v>
      </c>
      <c r="G8" s="6">
        <v>8.31</v>
      </c>
      <c r="H8" s="4">
        <v>69.52</v>
      </c>
      <c r="I8" s="4">
        <v>73.25</v>
      </c>
      <c r="J8" s="4">
        <v>418483</v>
      </c>
      <c r="K8" s="4">
        <v>4.7300000000000004</v>
      </c>
      <c r="L8" s="7">
        <v>12.22</v>
      </c>
      <c r="M8" s="7">
        <v>62.55</v>
      </c>
      <c r="N8" s="1">
        <v>0.39600000000000002</v>
      </c>
    </row>
    <row r="9" spans="1:14" ht="15.75" customHeight="1" x14ac:dyDescent="0.25">
      <c r="A9" s="3" t="s">
        <v>21</v>
      </c>
      <c r="B9" s="3" t="s">
        <v>23</v>
      </c>
      <c r="C9" s="4">
        <v>67.069999999999993</v>
      </c>
      <c r="D9" s="4">
        <v>87.44</v>
      </c>
      <c r="E9" s="6">
        <v>7.7</v>
      </c>
      <c r="F9" s="6">
        <v>47935.63</v>
      </c>
      <c r="G9" s="6">
        <v>7.1</v>
      </c>
      <c r="H9" s="4">
        <v>69.27</v>
      </c>
      <c r="I9" s="4">
        <v>73.13</v>
      </c>
      <c r="J9" s="4">
        <v>342094</v>
      </c>
      <c r="K9" s="4">
        <v>4.8099999999999996</v>
      </c>
      <c r="L9" s="7">
        <v>9.51</v>
      </c>
      <c r="M9" s="7">
        <v>64.930000000000007</v>
      </c>
      <c r="N9" s="1">
        <v>0.34300000000000003</v>
      </c>
    </row>
    <row r="10" spans="1:14" ht="15.75" customHeight="1" x14ac:dyDescent="0.25">
      <c r="A10" s="3" t="s">
        <v>21</v>
      </c>
      <c r="B10" s="3" t="s">
        <v>24</v>
      </c>
      <c r="C10" s="4">
        <v>65.56</v>
      </c>
      <c r="D10" s="4">
        <v>84.3</v>
      </c>
      <c r="E10" s="6">
        <v>11.18</v>
      </c>
      <c r="F10" s="6">
        <v>32897.53</v>
      </c>
      <c r="G10" s="6">
        <v>7.19</v>
      </c>
      <c r="H10" s="4">
        <v>68.45</v>
      </c>
      <c r="I10" s="4">
        <v>72.23</v>
      </c>
      <c r="J10" s="4">
        <v>387631</v>
      </c>
      <c r="K10" s="4">
        <v>6.2</v>
      </c>
      <c r="L10" s="7">
        <v>9.32</v>
      </c>
      <c r="M10" s="7">
        <v>67.98</v>
      </c>
      <c r="N10" s="1">
        <v>0.372</v>
      </c>
    </row>
    <row r="11" spans="1:14" ht="15.75" customHeight="1" x14ac:dyDescent="0.25">
      <c r="A11" s="3" t="s">
        <v>21</v>
      </c>
      <c r="B11" s="3" t="s">
        <v>25</v>
      </c>
      <c r="C11" s="4">
        <v>72.73</v>
      </c>
      <c r="D11" s="4">
        <v>93.85</v>
      </c>
      <c r="E11" s="6">
        <v>7.15</v>
      </c>
      <c r="F11" s="6">
        <v>83949.37</v>
      </c>
      <c r="G11" s="6">
        <v>9.07</v>
      </c>
      <c r="H11" s="4">
        <v>71.94</v>
      </c>
      <c r="I11" s="4">
        <v>75.52</v>
      </c>
      <c r="J11" s="4">
        <v>378819</v>
      </c>
      <c r="K11" s="4">
        <v>5.53</v>
      </c>
      <c r="L11" s="7">
        <v>8.32</v>
      </c>
      <c r="M11" s="7">
        <v>65.12</v>
      </c>
      <c r="N11" s="1">
        <v>0.38600000000000001</v>
      </c>
    </row>
    <row r="12" spans="1:14" ht="15.75" customHeight="1" x14ac:dyDescent="0.25">
      <c r="A12" s="3" t="s">
        <v>21</v>
      </c>
      <c r="B12" s="3" t="s">
        <v>26</v>
      </c>
      <c r="C12" s="4">
        <v>66.45</v>
      </c>
      <c r="D12" s="4">
        <v>82.13</v>
      </c>
      <c r="E12" s="6">
        <v>10.65</v>
      </c>
      <c r="F12" s="6">
        <v>39981.19</v>
      </c>
      <c r="G12" s="6">
        <v>7.53</v>
      </c>
      <c r="H12" s="4">
        <v>69.739999999999995</v>
      </c>
      <c r="I12" s="4">
        <v>73.48</v>
      </c>
      <c r="J12" s="4">
        <v>320050</v>
      </c>
      <c r="K12" s="4">
        <v>5</v>
      </c>
      <c r="L12" s="7">
        <v>8.68</v>
      </c>
      <c r="M12" s="7">
        <v>62.76</v>
      </c>
      <c r="N12" s="1">
        <v>0.32200000000000001</v>
      </c>
    </row>
    <row r="13" spans="1:14" ht="15.75" customHeight="1" x14ac:dyDescent="0.25">
      <c r="A13" s="3" t="s">
        <v>21</v>
      </c>
      <c r="B13" s="3" t="s">
        <v>27</v>
      </c>
      <c r="C13" s="4">
        <v>65.900000000000006</v>
      </c>
      <c r="D13" s="4">
        <v>86.36</v>
      </c>
      <c r="E13" s="6">
        <v>11.15</v>
      </c>
      <c r="F13" s="6">
        <v>25179.48</v>
      </c>
      <c r="G13" s="6">
        <v>7.48</v>
      </c>
      <c r="H13" s="4">
        <v>67.78</v>
      </c>
      <c r="I13" s="4">
        <v>71.59</v>
      </c>
      <c r="J13" s="4">
        <v>333909</v>
      </c>
      <c r="K13" s="4">
        <v>7.12</v>
      </c>
      <c r="L13" s="7">
        <v>6.16</v>
      </c>
      <c r="M13" s="7">
        <v>68.180000000000007</v>
      </c>
      <c r="N13" s="1">
        <v>0.378</v>
      </c>
    </row>
    <row r="14" spans="1:14" ht="15.75" customHeight="1" x14ac:dyDescent="0.25">
      <c r="A14" s="3" t="s">
        <v>21</v>
      </c>
      <c r="B14" s="3" t="s">
        <v>28</v>
      </c>
      <c r="C14" s="4">
        <v>70.930000000000007</v>
      </c>
      <c r="D14" s="4">
        <v>86.55</v>
      </c>
      <c r="E14" s="6">
        <v>7.97</v>
      </c>
      <c r="F14" s="6">
        <v>22774.93</v>
      </c>
      <c r="G14" s="5">
        <v>7.9</v>
      </c>
      <c r="H14" s="4">
        <v>70.19</v>
      </c>
      <c r="I14" s="4">
        <v>73.91</v>
      </c>
      <c r="J14" s="4">
        <v>389676</v>
      </c>
      <c r="K14" s="4">
        <v>5.87</v>
      </c>
      <c r="L14" s="7">
        <v>5.0599999999999996</v>
      </c>
      <c r="M14" s="7">
        <v>69.83</v>
      </c>
      <c r="N14" s="1">
        <v>0.34200000000000003</v>
      </c>
    </row>
    <row r="15" spans="1:14" ht="15.75" customHeight="1" x14ac:dyDescent="0.25">
      <c r="A15" s="3" t="s">
        <v>21</v>
      </c>
      <c r="B15" s="3" t="s">
        <v>29</v>
      </c>
      <c r="C15" s="4">
        <v>69.709999999999994</v>
      </c>
      <c r="D15" s="4">
        <v>86.97</v>
      </c>
      <c r="E15" s="6">
        <v>13.1</v>
      </c>
      <c r="F15" s="6">
        <v>17483.560000000001</v>
      </c>
      <c r="G15" s="6">
        <v>7.8</v>
      </c>
      <c r="H15" s="4">
        <v>71.98</v>
      </c>
      <c r="I15" s="4">
        <v>75.61</v>
      </c>
      <c r="J15" s="4">
        <v>358069</v>
      </c>
      <c r="K15" s="4">
        <v>3.73</v>
      </c>
      <c r="L15" s="7">
        <v>11.68</v>
      </c>
      <c r="M15" s="7">
        <v>63.82</v>
      </c>
      <c r="N15" s="1">
        <v>0.34899999999999998</v>
      </c>
    </row>
    <row r="16" spans="1:14" ht="15.75" customHeight="1" x14ac:dyDescent="0.25">
      <c r="A16" s="3" t="s">
        <v>21</v>
      </c>
      <c r="B16" s="3" t="s">
        <v>30</v>
      </c>
      <c r="C16" s="4">
        <v>69.12</v>
      </c>
      <c r="D16" s="4">
        <v>83.49</v>
      </c>
      <c r="E16" s="6">
        <v>12.3</v>
      </c>
      <c r="F16" s="6">
        <v>34127.519999999997</v>
      </c>
      <c r="G16" s="6">
        <v>7.1</v>
      </c>
      <c r="H16" s="4">
        <v>70.34</v>
      </c>
      <c r="I16" s="4">
        <v>74.069999999999993</v>
      </c>
      <c r="J16" s="4">
        <v>404635</v>
      </c>
      <c r="K16" s="4">
        <v>6.19</v>
      </c>
      <c r="L16" s="7">
        <v>10.38</v>
      </c>
      <c r="M16" s="7">
        <v>64.489999999999995</v>
      </c>
      <c r="N16" s="1">
        <v>0.33900000000000002</v>
      </c>
    </row>
    <row r="17" spans="1:14" ht="15.75" customHeight="1" x14ac:dyDescent="0.25">
      <c r="A17" s="3" t="s">
        <v>21</v>
      </c>
      <c r="B17" s="3" t="s">
        <v>31</v>
      </c>
      <c r="C17" s="4">
        <v>67.81</v>
      </c>
      <c r="D17" s="4">
        <v>86.24</v>
      </c>
      <c r="E17" s="6">
        <v>12.33</v>
      </c>
      <c r="F17" s="6">
        <v>22788.75</v>
      </c>
      <c r="G17" s="6">
        <v>7.31</v>
      </c>
      <c r="H17" s="4">
        <v>68.58</v>
      </c>
      <c r="I17" s="4">
        <v>72.37</v>
      </c>
      <c r="J17" s="4">
        <v>466813</v>
      </c>
      <c r="K17" s="4">
        <v>4.9400000000000004</v>
      </c>
      <c r="L17" s="7">
        <v>5.71</v>
      </c>
      <c r="M17" s="7">
        <v>67.63</v>
      </c>
      <c r="N17" s="1">
        <v>0.35399999999999998</v>
      </c>
    </row>
    <row r="18" spans="1:14" ht="15.75" customHeight="1" x14ac:dyDescent="0.25">
      <c r="A18" s="3" t="s">
        <v>21</v>
      </c>
      <c r="B18" s="3" t="s">
        <v>32</v>
      </c>
      <c r="C18" s="4">
        <v>71.8</v>
      </c>
      <c r="D18" s="4">
        <v>95.18</v>
      </c>
      <c r="E18" s="6">
        <v>10.71</v>
      </c>
      <c r="F18" s="6">
        <v>24414.66</v>
      </c>
      <c r="G18" s="6">
        <v>8.52</v>
      </c>
      <c r="H18" s="4">
        <v>70.77</v>
      </c>
      <c r="I18" s="4">
        <v>74.489999999999995</v>
      </c>
      <c r="J18" s="4">
        <v>360054</v>
      </c>
      <c r="K18" s="4">
        <v>5.09</v>
      </c>
      <c r="L18" s="7">
        <v>9.18</v>
      </c>
      <c r="M18" s="7">
        <v>68.510000000000005</v>
      </c>
      <c r="N18" s="1">
        <v>0.35899999999999999</v>
      </c>
    </row>
    <row r="19" spans="1:14" ht="15.75" customHeight="1" x14ac:dyDescent="0.25">
      <c r="A19" s="3" t="s">
        <v>21</v>
      </c>
      <c r="B19" s="3" t="s">
        <v>33</v>
      </c>
      <c r="C19" s="4">
        <v>67.64</v>
      </c>
      <c r="D19" s="4">
        <v>87.92</v>
      </c>
      <c r="E19" s="6">
        <v>13.04</v>
      </c>
      <c r="F19" s="6">
        <v>59544.87</v>
      </c>
      <c r="G19" s="6">
        <v>6.52</v>
      </c>
      <c r="H19" s="4">
        <v>70.010000000000005</v>
      </c>
      <c r="I19" s="4">
        <v>73.72</v>
      </c>
      <c r="J19" s="4">
        <v>481754</v>
      </c>
      <c r="K19" s="4">
        <v>3.97</v>
      </c>
      <c r="L19" s="7">
        <v>8.3000000000000007</v>
      </c>
      <c r="M19" s="7">
        <v>69.86</v>
      </c>
      <c r="N19" s="1">
        <v>0.32100000000000001</v>
      </c>
    </row>
    <row r="20" spans="1:14" ht="15.75" customHeight="1" x14ac:dyDescent="0.25">
      <c r="A20" s="3" t="s">
        <v>21</v>
      </c>
      <c r="B20" s="3" t="s">
        <v>34</v>
      </c>
      <c r="C20" s="4">
        <v>69.13</v>
      </c>
      <c r="D20" s="4">
        <v>90.51</v>
      </c>
      <c r="E20" s="6">
        <v>10.029999999999999</v>
      </c>
      <c r="F20" s="6">
        <v>28960.89</v>
      </c>
      <c r="G20" s="6">
        <v>7.11</v>
      </c>
      <c r="H20" s="4">
        <v>70.78</v>
      </c>
      <c r="I20" s="4">
        <v>74.44</v>
      </c>
      <c r="J20" s="4">
        <v>360691</v>
      </c>
      <c r="K20" s="4">
        <v>4.16</v>
      </c>
      <c r="L20" s="7">
        <v>9.77</v>
      </c>
      <c r="M20" s="7">
        <v>67.78</v>
      </c>
      <c r="N20" s="1">
        <v>0.32900000000000001</v>
      </c>
    </row>
    <row r="21" spans="1:14" ht="15.75" customHeight="1" x14ac:dyDescent="0.25">
      <c r="A21" s="3" t="s">
        <v>21</v>
      </c>
      <c r="B21" s="3" t="s">
        <v>35</v>
      </c>
      <c r="C21" s="4">
        <v>70.98</v>
      </c>
      <c r="D21" s="4">
        <v>86.7</v>
      </c>
      <c r="E21" s="6">
        <v>8.83</v>
      </c>
      <c r="F21" s="6">
        <v>46840.15</v>
      </c>
      <c r="G21" s="6">
        <v>8.1</v>
      </c>
      <c r="H21" s="4">
        <v>69.31</v>
      </c>
      <c r="I21" s="4">
        <v>73.08</v>
      </c>
      <c r="J21" s="4">
        <v>387754</v>
      </c>
      <c r="K21" s="4">
        <v>3.45</v>
      </c>
      <c r="L21" s="7">
        <v>10.7</v>
      </c>
      <c r="M21" s="7">
        <v>61.13</v>
      </c>
      <c r="N21" s="1">
        <v>0.38800000000000001</v>
      </c>
    </row>
    <row r="22" spans="1:14" ht="15.75" customHeight="1" x14ac:dyDescent="0.25">
      <c r="A22" s="3" t="s">
        <v>21</v>
      </c>
      <c r="B22" s="3" t="s">
        <v>36</v>
      </c>
      <c r="C22" s="4">
        <v>70.94</v>
      </c>
      <c r="D22" s="4">
        <v>90.29</v>
      </c>
      <c r="E22" s="6">
        <v>8.9499999999999993</v>
      </c>
      <c r="F22" s="6">
        <v>166941.5</v>
      </c>
      <c r="G22" s="6">
        <v>7.78</v>
      </c>
      <c r="H22" s="4">
        <v>70.5</v>
      </c>
      <c r="I22" s="4">
        <v>74.209999999999994</v>
      </c>
      <c r="J22" s="4">
        <v>494201</v>
      </c>
      <c r="K22" s="4">
        <v>4.8</v>
      </c>
      <c r="L22" s="7">
        <v>11.83</v>
      </c>
      <c r="M22" s="7">
        <v>64.19</v>
      </c>
      <c r="N22" s="1">
        <v>0.374</v>
      </c>
    </row>
    <row r="23" spans="1:14" ht="15.75" customHeight="1" x14ac:dyDescent="0.25">
      <c r="A23" s="3" t="s">
        <v>21</v>
      </c>
      <c r="B23" s="3" t="s">
        <v>37</v>
      </c>
      <c r="C23" s="4">
        <v>74.45</v>
      </c>
      <c r="D23" s="4">
        <v>88.88</v>
      </c>
      <c r="E23" s="6">
        <v>5.21</v>
      </c>
      <c r="F23" s="6">
        <v>251778.5</v>
      </c>
      <c r="G23" s="6">
        <v>9.3000000000000007</v>
      </c>
      <c r="H23" s="4">
        <v>71.989999999999995</v>
      </c>
      <c r="I23" s="4">
        <v>75.63</v>
      </c>
      <c r="J23" s="4">
        <v>549875</v>
      </c>
      <c r="K23" s="4">
        <v>2.38</v>
      </c>
      <c r="L23" s="7">
        <v>10.09</v>
      </c>
      <c r="M23" s="7">
        <v>65.87</v>
      </c>
      <c r="N23" s="1">
        <v>0.34</v>
      </c>
    </row>
    <row r="24" spans="1:14" ht="15.75" customHeight="1" x14ac:dyDescent="0.25">
      <c r="A24" s="3" t="s">
        <v>21</v>
      </c>
      <c r="B24" s="3" t="s">
        <v>38</v>
      </c>
      <c r="C24" s="4">
        <v>68.290000000000006</v>
      </c>
      <c r="D24" s="4">
        <v>79.069999999999993</v>
      </c>
      <c r="E24" s="6">
        <v>11.3</v>
      </c>
      <c r="F24" s="6">
        <v>31701.79</v>
      </c>
      <c r="G24" s="6">
        <v>8.1999999999999993</v>
      </c>
      <c r="H24" s="4">
        <v>70.7</v>
      </c>
      <c r="I24" s="4">
        <v>74.39</v>
      </c>
      <c r="J24" s="4">
        <v>374470</v>
      </c>
      <c r="K24" s="4">
        <v>6.04</v>
      </c>
      <c r="L24" s="7">
        <v>11.65</v>
      </c>
      <c r="M24" s="7">
        <v>60.75</v>
      </c>
      <c r="N24" s="1">
        <v>0.35599999999999998</v>
      </c>
    </row>
    <row r="25" spans="1:14" ht="15.75" customHeight="1" x14ac:dyDescent="0.25">
      <c r="A25" s="3" t="s">
        <v>21</v>
      </c>
      <c r="B25" s="3" t="s">
        <v>39</v>
      </c>
      <c r="C25" s="4">
        <v>68.28</v>
      </c>
      <c r="D25" s="4">
        <v>89.92</v>
      </c>
      <c r="E25" s="6">
        <v>9.65</v>
      </c>
      <c r="F25" s="6">
        <v>8022.78</v>
      </c>
      <c r="G25" s="6">
        <v>7.85</v>
      </c>
      <c r="H25" s="4">
        <v>69.75</v>
      </c>
      <c r="I25" s="4">
        <v>73.48</v>
      </c>
      <c r="J25" s="4">
        <v>394101</v>
      </c>
      <c r="K25" s="4">
        <v>4.32</v>
      </c>
      <c r="L25" s="7">
        <v>3.25</v>
      </c>
      <c r="M25" s="7">
        <v>74.75</v>
      </c>
      <c r="N25" s="1">
        <v>0.32</v>
      </c>
    </row>
    <row r="26" spans="1:14" ht="15.75" customHeight="1" x14ac:dyDescent="0.25">
      <c r="A26" s="3" t="s">
        <v>21</v>
      </c>
      <c r="B26" s="3" t="s">
        <v>40</v>
      </c>
      <c r="C26" s="4">
        <v>76.59</v>
      </c>
      <c r="D26" s="4">
        <v>90.87</v>
      </c>
      <c r="E26" s="6">
        <v>7.24</v>
      </c>
      <c r="F26" s="6">
        <v>33372.480000000003</v>
      </c>
      <c r="G26" s="6">
        <v>10.53</v>
      </c>
      <c r="H26" s="4">
        <v>72.02</v>
      </c>
      <c r="I26" s="4">
        <v>75.650000000000006</v>
      </c>
      <c r="J26" s="4">
        <v>571425</v>
      </c>
      <c r="K26" s="4">
        <v>3.08</v>
      </c>
      <c r="L26" s="7">
        <v>11.79</v>
      </c>
      <c r="M26" s="7">
        <v>61.77</v>
      </c>
      <c r="N26" s="1">
        <v>0.441</v>
      </c>
    </row>
    <row r="27" spans="1:14" x14ac:dyDescent="0.25">
      <c r="A27" s="3" t="s">
        <v>21</v>
      </c>
      <c r="B27" s="3" t="s">
        <v>41</v>
      </c>
      <c r="C27" s="4">
        <v>74.599999999999994</v>
      </c>
      <c r="D27" s="4">
        <v>91.58</v>
      </c>
      <c r="E27" s="6">
        <v>8.25</v>
      </c>
      <c r="F27" s="6">
        <v>2538923</v>
      </c>
      <c r="G27" s="6">
        <v>9.81</v>
      </c>
      <c r="H27" s="4">
        <v>70.75</v>
      </c>
      <c r="I27" s="4">
        <v>74.44</v>
      </c>
      <c r="J27" s="4">
        <v>567734</v>
      </c>
      <c r="K27" s="4">
        <v>4.9000000000000004</v>
      </c>
      <c r="L27" s="7">
        <v>10.78</v>
      </c>
      <c r="M27" s="7">
        <v>56.86</v>
      </c>
      <c r="N27" s="1">
        <v>0.436</v>
      </c>
    </row>
    <row r="28" spans="1:14" x14ac:dyDescent="0.25">
      <c r="A28" s="3" t="s">
        <v>21</v>
      </c>
      <c r="B28" s="3" t="s">
        <v>42</v>
      </c>
      <c r="C28" s="4">
        <v>81.96</v>
      </c>
      <c r="D28" s="4">
        <v>94.72</v>
      </c>
      <c r="E28" s="6">
        <v>4.37</v>
      </c>
      <c r="F28" s="6">
        <v>200414</v>
      </c>
      <c r="G28" s="6">
        <v>10.99</v>
      </c>
      <c r="H28" s="4">
        <v>72.709999999999994</v>
      </c>
      <c r="I28" s="4">
        <v>76.16</v>
      </c>
      <c r="J28" s="4">
        <v>515396</v>
      </c>
      <c r="K28" s="4">
        <v>2.92</v>
      </c>
      <c r="L28" s="7">
        <v>11.46</v>
      </c>
      <c r="M28" s="7">
        <v>65.31</v>
      </c>
      <c r="N28" s="1">
        <v>0.42699999999999999</v>
      </c>
    </row>
    <row r="29" spans="1:14" x14ac:dyDescent="0.25">
      <c r="A29" s="3" t="s">
        <v>21</v>
      </c>
      <c r="B29" s="3" t="s">
        <v>43</v>
      </c>
      <c r="C29" s="4">
        <v>75.25</v>
      </c>
      <c r="D29" s="4">
        <v>94.46</v>
      </c>
      <c r="E29" s="6">
        <v>10.029999999999999</v>
      </c>
      <c r="F29" s="6">
        <v>17155.75</v>
      </c>
      <c r="G29" s="6">
        <v>10.119999999999999</v>
      </c>
      <c r="H29" s="4">
        <v>70.61</v>
      </c>
      <c r="I29" s="4">
        <v>74.31</v>
      </c>
      <c r="J29" s="4">
        <v>467248</v>
      </c>
      <c r="K29" s="4">
        <v>5.71</v>
      </c>
      <c r="L29" s="7">
        <v>10.53</v>
      </c>
      <c r="M29" s="7">
        <v>62.87</v>
      </c>
      <c r="N29" s="1">
        <v>0.48899999999999999</v>
      </c>
    </row>
    <row r="30" spans="1:14" x14ac:dyDescent="0.25">
      <c r="A30" s="3" t="s">
        <v>21</v>
      </c>
      <c r="B30" s="3" t="s">
        <v>44</v>
      </c>
      <c r="C30" s="4">
        <v>81.95</v>
      </c>
      <c r="D30" s="4">
        <v>93.09</v>
      </c>
      <c r="E30" s="6">
        <v>4.74</v>
      </c>
      <c r="F30" s="6">
        <v>69796.94</v>
      </c>
      <c r="G30" s="6">
        <v>11.31</v>
      </c>
      <c r="H30" s="4">
        <v>73.48</v>
      </c>
      <c r="I30" s="4">
        <v>76.89</v>
      </c>
      <c r="J30" s="4">
        <v>692885</v>
      </c>
      <c r="K30" s="4">
        <v>1.79</v>
      </c>
      <c r="L30" s="7">
        <v>10.88</v>
      </c>
      <c r="M30" s="7">
        <v>64.760000000000005</v>
      </c>
      <c r="N30" s="1">
        <v>0.40100000000000002</v>
      </c>
    </row>
    <row r="31" spans="1:14" x14ac:dyDescent="0.25">
      <c r="A31" s="3" t="s">
        <v>21</v>
      </c>
      <c r="B31" s="3" t="s">
        <v>45</v>
      </c>
      <c r="C31" s="4">
        <v>81.37</v>
      </c>
      <c r="D31" s="4">
        <v>92.96</v>
      </c>
      <c r="E31" s="6">
        <v>2.58</v>
      </c>
      <c r="F31" s="6">
        <v>49947.24</v>
      </c>
      <c r="G31" s="6">
        <v>11.46</v>
      </c>
      <c r="H31" s="4">
        <v>72.87</v>
      </c>
      <c r="I31" s="4">
        <v>76.599999999999994</v>
      </c>
      <c r="J31" s="4">
        <v>705084</v>
      </c>
      <c r="K31" s="4">
        <v>1.55</v>
      </c>
      <c r="L31" s="7">
        <v>9.76</v>
      </c>
      <c r="M31" s="7">
        <v>62.62</v>
      </c>
      <c r="N31" s="1">
        <v>0.36699999999999999</v>
      </c>
    </row>
    <row r="32" spans="1:14" x14ac:dyDescent="0.25">
      <c r="A32" s="3" t="s">
        <v>21</v>
      </c>
      <c r="B32" s="3" t="s">
        <v>46</v>
      </c>
      <c r="C32" s="4">
        <v>78.06</v>
      </c>
      <c r="D32" s="4">
        <v>91.95</v>
      </c>
      <c r="E32" s="6">
        <v>5.35</v>
      </c>
      <c r="F32" s="6">
        <v>23275.78</v>
      </c>
      <c r="G32" s="6">
        <v>11.08</v>
      </c>
      <c r="H32" s="4">
        <v>72.45</v>
      </c>
      <c r="I32" s="4">
        <v>75.959999999999994</v>
      </c>
      <c r="J32" s="4">
        <v>522281</v>
      </c>
      <c r="K32" s="4">
        <v>3.23</v>
      </c>
      <c r="L32" s="7">
        <v>13.07</v>
      </c>
      <c r="M32" s="7">
        <v>61.79</v>
      </c>
      <c r="N32" s="1">
        <v>0.41499999999999998</v>
      </c>
    </row>
    <row r="33" spans="1:14" x14ac:dyDescent="0.25">
      <c r="A33" s="3" t="s">
        <v>21</v>
      </c>
      <c r="B33" s="3" t="s">
        <v>47</v>
      </c>
      <c r="C33" s="4">
        <v>73.31</v>
      </c>
      <c r="D33" s="4">
        <v>91.74</v>
      </c>
      <c r="E33" s="6">
        <v>13.13</v>
      </c>
      <c r="F33" s="6">
        <v>15980.75</v>
      </c>
      <c r="G33" s="6">
        <v>9.52</v>
      </c>
      <c r="H33" s="4">
        <v>70.52</v>
      </c>
      <c r="I33" s="4">
        <v>74.209999999999994</v>
      </c>
      <c r="J33" s="4">
        <v>480341</v>
      </c>
      <c r="K33" s="4">
        <v>5.35</v>
      </c>
      <c r="L33" s="7">
        <v>7.66</v>
      </c>
      <c r="M33" s="7">
        <v>65.75</v>
      </c>
      <c r="N33" s="1">
        <v>0.41399999999999998</v>
      </c>
    </row>
    <row r="34" spans="1:14" x14ac:dyDescent="0.25">
      <c r="A34" s="3" t="s">
        <v>21</v>
      </c>
      <c r="B34" s="3" t="s">
        <v>48</v>
      </c>
      <c r="C34" s="4">
        <v>71.92</v>
      </c>
      <c r="D34" s="4">
        <v>87.01</v>
      </c>
      <c r="E34" s="6">
        <v>7.11</v>
      </c>
      <c r="F34" s="6">
        <v>3365.25</v>
      </c>
      <c r="G34" s="6">
        <v>8.77</v>
      </c>
      <c r="H34" s="4">
        <v>69.31</v>
      </c>
      <c r="I34" s="4">
        <v>73.08</v>
      </c>
      <c r="J34" s="4">
        <v>357210</v>
      </c>
      <c r="K34" s="4">
        <v>5.93</v>
      </c>
      <c r="L34" s="7">
        <v>6.09</v>
      </c>
      <c r="M34" s="7">
        <v>64.069999999999993</v>
      </c>
      <c r="N34" s="1">
        <v>0.34100000000000003</v>
      </c>
    </row>
    <row r="35" spans="1:14" x14ac:dyDescent="0.25">
      <c r="A35" s="3" t="s">
        <v>49</v>
      </c>
      <c r="B35" s="3" t="s">
        <v>50</v>
      </c>
      <c r="C35" s="4">
        <v>65.17</v>
      </c>
      <c r="D35" s="4">
        <v>86.83</v>
      </c>
      <c r="E35" s="6">
        <v>10.72</v>
      </c>
      <c r="F35" s="6">
        <v>20116.900000000001</v>
      </c>
      <c r="G35" s="6">
        <v>7.11</v>
      </c>
      <c r="H35" s="4">
        <v>62.82</v>
      </c>
      <c r="I35" s="4">
        <v>66.680000000000007</v>
      </c>
      <c r="J35" s="4">
        <v>390754</v>
      </c>
      <c r="K35" s="4">
        <v>4.37</v>
      </c>
      <c r="L35" s="7">
        <v>7.7</v>
      </c>
      <c r="M35" s="7">
        <v>62.32</v>
      </c>
      <c r="N35" s="1">
        <v>0.26600000000000001</v>
      </c>
    </row>
    <row r="36" spans="1:14" x14ac:dyDescent="0.25">
      <c r="A36" s="3" t="s">
        <v>49</v>
      </c>
      <c r="B36" s="3" t="s">
        <v>51</v>
      </c>
      <c r="C36" s="4">
        <v>64.03</v>
      </c>
      <c r="D36" s="4">
        <v>79.87</v>
      </c>
      <c r="E36" s="6">
        <v>10.29</v>
      </c>
      <c r="F36" s="6">
        <v>21278.48</v>
      </c>
      <c r="G36" s="6">
        <v>6.41</v>
      </c>
      <c r="H36" s="4">
        <v>65.33</v>
      </c>
      <c r="I36" s="4">
        <v>69.239999999999995</v>
      </c>
      <c r="J36" s="4">
        <v>358479</v>
      </c>
      <c r="K36" s="4">
        <v>3.87</v>
      </c>
      <c r="L36" s="7">
        <v>7.86</v>
      </c>
      <c r="M36" s="7">
        <v>66.75</v>
      </c>
      <c r="N36" s="1">
        <v>0.33200000000000002</v>
      </c>
    </row>
    <row r="37" spans="1:14" x14ac:dyDescent="0.25">
      <c r="A37" s="3" t="s">
        <v>49</v>
      </c>
      <c r="B37" s="3" t="s">
        <v>52</v>
      </c>
      <c r="C37" s="4">
        <v>72.290000000000006</v>
      </c>
      <c r="D37" s="4">
        <v>91.08</v>
      </c>
      <c r="E37" s="6">
        <v>7.12</v>
      </c>
      <c r="F37" s="6">
        <v>97869.38</v>
      </c>
      <c r="G37" s="6">
        <v>8.61</v>
      </c>
      <c r="H37" s="4">
        <v>67.930000000000007</v>
      </c>
      <c r="I37" s="4">
        <v>71.84</v>
      </c>
      <c r="J37" s="4">
        <v>545065</v>
      </c>
      <c r="K37" s="4">
        <v>2.65</v>
      </c>
      <c r="L37" s="7">
        <v>9.06</v>
      </c>
      <c r="M37" s="7">
        <v>63.94</v>
      </c>
      <c r="N37" s="1">
        <v>0.29399999999999998</v>
      </c>
    </row>
    <row r="38" spans="1:14" x14ac:dyDescent="0.25">
      <c r="A38" s="3" t="s">
        <v>49</v>
      </c>
      <c r="B38" s="3" t="s">
        <v>53</v>
      </c>
      <c r="C38" s="4">
        <v>66.819999999999993</v>
      </c>
      <c r="D38" s="4">
        <v>91.98</v>
      </c>
      <c r="E38" s="6">
        <v>5.49</v>
      </c>
      <c r="F38" s="6">
        <v>54844.65</v>
      </c>
      <c r="G38" s="6">
        <v>7.51</v>
      </c>
      <c r="H38" s="4">
        <v>62.82</v>
      </c>
      <c r="I38" s="4">
        <v>66.61</v>
      </c>
      <c r="J38" s="4">
        <v>362102</v>
      </c>
      <c r="K38" s="4">
        <v>3.03</v>
      </c>
      <c r="L38" s="7">
        <v>10.58</v>
      </c>
      <c r="M38" s="7">
        <v>63.86</v>
      </c>
      <c r="N38" s="1">
        <v>0.26400000000000001</v>
      </c>
    </row>
    <row r="39" spans="1:14" x14ac:dyDescent="0.25">
      <c r="A39" s="3" t="s">
        <v>49</v>
      </c>
      <c r="B39" s="3" t="s">
        <v>54</v>
      </c>
      <c r="C39" s="4">
        <v>78.5</v>
      </c>
      <c r="D39" s="4">
        <v>94.72</v>
      </c>
      <c r="E39" s="6">
        <v>5.93</v>
      </c>
      <c r="F39" s="6">
        <v>106413.7</v>
      </c>
      <c r="G39" s="6">
        <v>10.83</v>
      </c>
      <c r="H39" s="4">
        <v>69.61</v>
      </c>
      <c r="I39" s="4">
        <v>73.489999999999995</v>
      </c>
      <c r="J39" s="4">
        <v>655061</v>
      </c>
      <c r="K39" s="4">
        <v>2.16</v>
      </c>
      <c r="L39" s="7">
        <v>9.07</v>
      </c>
      <c r="M39" s="7">
        <v>64.52</v>
      </c>
      <c r="N39" s="1">
        <v>0.34300000000000003</v>
      </c>
    </row>
    <row r="40" spans="1:14" x14ac:dyDescent="0.25">
      <c r="A40" s="3" t="s">
        <v>49</v>
      </c>
      <c r="B40" s="3" t="s">
        <v>55</v>
      </c>
      <c r="C40" s="4">
        <v>73.349999999999994</v>
      </c>
      <c r="D40" s="4">
        <v>87.25</v>
      </c>
      <c r="E40" s="6">
        <v>4.24</v>
      </c>
      <c r="F40" s="6">
        <v>77163.94</v>
      </c>
      <c r="G40" s="6">
        <v>10.08</v>
      </c>
      <c r="H40" s="4">
        <v>64.680000000000007</v>
      </c>
      <c r="I40" s="4">
        <v>68.61</v>
      </c>
      <c r="J40" s="4">
        <v>540032</v>
      </c>
      <c r="K40" s="4">
        <v>2.46</v>
      </c>
      <c r="L40" s="7">
        <v>10.130000000000001</v>
      </c>
      <c r="M40" s="7">
        <v>61.37</v>
      </c>
      <c r="N40" s="1">
        <v>0.36299999999999999</v>
      </c>
    </row>
    <row r="41" spans="1:14" x14ac:dyDescent="0.25">
      <c r="A41" s="3" t="s">
        <v>49</v>
      </c>
      <c r="B41" s="3" t="s">
        <v>56</v>
      </c>
      <c r="C41" s="4">
        <v>72.44</v>
      </c>
      <c r="D41" s="4">
        <v>92.47</v>
      </c>
      <c r="E41" s="6">
        <v>6.79</v>
      </c>
      <c r="F41" s="6">
        <v>23392.75</v>
      </c>
      <c r="G41" s="6">
        <v>8.89</v>
      </c>
      <c r="H41" s="4">
        <v>65.91</v>
      </c>
      <c r="I41" s="4">
        <v>70.06</v>
      </c>
      <c r="J41" s="4">
        <v>431210</v>
      </c>
      <c r="K41" s="4">
        <v>1.99</v>
      </c>
      <c r="L41" s="7">
        <v>9.41</v>
      </c>
      <c r="M41" s="7">
        <v>62.16</v>
      </c>
      <c r="N41" s="1">
        <v>0.34</v>
      </c>
    </row>
    <row r="42" spans="1:14" x14ac:dyDescent="0.25">
      <c r="A42" s="3" t="s">
        <v>49</v>
      </c>
      <c r="B42" s="3" t="s">
        <v>57</v>
      </c>
      <c r="C42" s="4">
        <v>81.599999999999994</v>
      </c>
      <c r="D42" s="4">
        <v>93.8</v>
      </c>
      <c r="E42" s="6">
        <v>2.57</v>
      </c>
      <c r="F42" s="6">
        <v>62393.120000000003</v>
      </c>
      <c r="G42" s="6">
        <v>11.82</v>
      </c>
      <c r="H42" s="4">
        <v>70.55</v>
      </c>
      <c r="I42" s="4">
        <v>74.31</v>
      </c>
      <c r="J42" s="4">
        <v>665610</v>
      </c>
      <c r="K42" s="4">
        <v>1.89</v>
      </c>
      <c r="L42" s="7">
        <v>8.6</v>
      </c>
      <c r="M42" s="7">
        <v>62.56</v>
      </c>
      <c r="N42" s="1">
        <v>0.37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57"/>
  <sheetViews>
    <sheetView topLeftCell="D2" workbookViewId="0">
      <selection activeCell="K2" sqref="K2:K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72.790000000000006</v>
      </c>
      <c r="D2" s="4">
        <v>93.69</v>
      </c>
      <c r="E2" s="6">
        <v>14.11</v>
      </c>
      <c r="F2" s="6">
        <v>3586.89</v>
      </c>
      <c r="G2" s="6">
        <v>9.02</v>
      </c>
      <c r="H2" s="4">
        <v>67.02</v>
      </c>
      <c r="I2" s="4">
        <v>71.27</v>
      </c>
      <c r="J2" s="4">
        <v>701088</v>
      </c>
      <c r="K2" s="4">
        <v>3.91</v>
      </c>
      <c r="L2" s="7">
        <v>8.4700000000000006</v>
      </c>
      <c r="M2" s="7">
        <v>67.680000000000007</v>
      </c>
      <c r="N2" s="1">
        <v>0.21099999999999999</v>
      </c>
    </row>
    <row r="3" spans="1:14" ht="15.75" customHeight="1" x14ac:dyDescent="0.25">
      <c r="A3" s="3" t="s">
        <v>14</v>
      </c>
      <c r="B3" s="3" t="s">
        <v>16</v>
      </c>
      <c r="C3" s="4">
        <v>85.21</v>
      </c>
      <c r="D3" s="4">
        <v>96.48</v>
      </c>
      <c r="E3" s="6">
        <v>3.52</v>
      </c>
      <c r="F3" s="6">
        <v>451772.7</v>
      </c>
      <c r="G3" s="6">
        <v>11.66</v>
      </c>
      <c r="H3" s="4">
        <v>72.599999999999994</v>
      </c>
      <c r="I3" s="4">
        <v>76.510000000000005</v>
      </c>
      <c r="J3" s="4">
        <v>842630</v>
      </c>
      <c r="K3" s="4">
        <v>2.5099999999999998</v>
      </c>
      <c r="L3" s="7">
        <v>5.63</v>
      </c>
      <c r="M3" s="7">
        <v>63.07</v>
      </c>
      <c r="N3" s="1">
        <v>0.377</v>
      </c>
    </row>
    <row r="4" spans="1:14" ht="15.75" customHeight="1" x14ac:dyDescent="0.25">
      <c r="A4" s="3" t="s">
        <v>14</v>
      </c>
      <c r="B4" s="3" t="s">
        <v>17</v>
      </c>
      <c r="C4" s="4">
        <v>83.45</v>
      </c>
      <c r="D4" s="4">
        <v>95.92</v>
      </c>
      <c r="E4" s="5">
        <v>4.3</v>
      </c>
      <c r="F4" s="6">
        <v>329546.3</v>
      </c>
      <c r="G4" s="6">
        <v>11.73</v>
      </c>
      <c r="H4" s="4">
        <v>72.98</v>
      </c>
      <c r="I4" s="4">
        <v>76.63</v>
      </c>
      <c r="J4" s="4">
        <v>630842</v>
      </c>
      <c r="K4" s="4">
        <v>3.71</v>
      </c>
      <c r="L4" s="7">
        <v>8.39</v>
      </c>
      <c r="M4" s="7">
        <v>61.26</v>
      </c>
      <c r="N4" s="1">
        <v>0.374</v>
      </c>
    </row>
    <row r="5" spans="1:14" ht="15.75" customHeight="1" x14ac:dyDescent="0.25">
      <c r="A5" s="3" t="s">
        <v>14</v>
      </c>
      <c r="B5" s="3" t="s">
        <v>18</v>
      </c>
      <c r="C5" s="4">
        <v>82.11</v>
      </c>
      <c r="D5" s="4">
        <v>96.41</v>
      </c>
      <c r="E5" s="6">
        <v>4.9000000000000004</v>
      </c>
      <c r="F5" s="6">
        <v>481954.5</v>
      </c>
      <c r="G5" s="6">
        <v>11.53</v>
      </c>
      <c r="H5" s="4">
        <v>72.55</v>
      </c>
      <c r="I5" s="4">
        <v>76.39</v>
      </c>
      <c r="J5" s="4">
        <v>733176</v>
      </c>
      <c r="K5" s="4">
        <v>3.82</v>
      </c>
      <c r="L5" s="7">
        <v>5.88</v>
      </c>
      <c r="M5" s="7">
        <v>63.6</v>
      </c>
      <c r="N5" s="1">
        <v>0.34300000000000003</v>
      </c>
    </row>
    <row r="6" spans="1:14" ht="15.75" customHeight="1" x14ac:dyDescent="0.25">
      <c r="A6" s="3" t="s">
        <v>14</v>
      </c>
      <c r="B6" s="3" t="s">
        <v>19</v>
      </c>
      <c r="C6" s="4">
        <v>82.51</v>
      </c>
      <c r="D6" s="4">
        <v>95.39</v>
      </c>
      <c r="E6" s="6">
        <v>4.22</v>
      </c>
      <c r="F6" s="6">
        <v>345619.6</v>
      </c>
      <c r="G6" s="6">
        <v>11.13</v>
      </c>
      <c r="H6" s="4">
        <v>71.97</v>
      </c>
      <c r="I6" s="4">
        <v>75.650000000000006</v>
      </c>
      <c r="J6" s="4">
        <v>599514</v>
      </c>
      <c r="K6" s="4">
        <v>2.8</v>
      </c>
      <c r="L6" s="7">
        <v>7.1</v>
      </c>
      <c r="M6" s="7">
        <v>63.97</v>
      </c>
      <c r="N6" s="1">
        <v>0.42199999999999999</v>
      </c>
    </row>
    <row r="7" spans="1:14" ht="15.75" customHeight="1" x14ac:dyDescent="0.25">
      <c r="A7" s="3" t="s">
        <v>14</v>
      </c>
      <c r="B7" s="3" t="s">
        <v>20</v>
      </c>
      <c r="C7" s="4">
        <v>80.81</v>
      </c>
      <c r="D7" s="4">
        <v>93.84</v>
      </c>
      <c r="E7" s="6">
        <v>7.24</v>
      </c>
      <c r="F7" s="6">
        <v>350233.7</v>
      </c>
      <c r="G7" s="6">
        <v>10.82</v>
      </c>
      <c r="H7" s="4">
        <v>71.58</v>
      </c>
      <c r="I7" s="4">
        <v>75.41</v>
      </c>
      <c r="J7" s="4">
        <v>645431</v>
      </c>
      <c r="K7" s="4">
        <v>4.78</v>
      </c>
      <c r="L7" s="7">
        <v>8.0399999999999991</v>
      </c>
      <c r="M7" s="7">
        <v>64.34</v>
      </c>
      <c r="N7" s="1">
        <v>0.54300000000000004</v>
      </c>
    </row>
    <row r="8" spans="1:14" ht="15.75" customHeight="1" x14ac:dyDescent="0.25">
      <c r="A8" s="3" t="s">
        <v>21</v>
      </c>
      <c r="B8" s="3" t="s">
        <v>22</v>
      </c>
      <c r="C8" s="4">
        <v>71.2</v>
      </c>
      <c r="D8" s="4">
        <v>89.95</v>
      </c>
      <c r="E8" s="6">
        <v>7.73</v>
      </c>
      <c r="F8" s="6">
        <v>167966.2</v>
      </c>
      <c r="G8" s="6">
        <v>8.34</v>
      </c>
      <c r="H8" s="4">
        <v>69.72</v>
      </c>
      <c r="I8" s="4">
        <v>73.540000000000006</v>
      </c>
      <c r="J8" s="4">
        <v>443787</v>
      </c>
      <c r="K8" s="4">
        <v>7.03</v>
      </c>
      <c r="L8" s="7">
        <v>10.64</v>
      </c>
      <c r="M8" s="7">
        <v>63.75</v>
      </c>
      <c r="N8" s="1">
        <v>0.4</v>
      </c>
    </row>
    <row r="9" spans="1:14" ht="15.75" customHeight="1" x14ac:dyDescent="0.25">
      <c r="A9" s="3" t="s">
        <v>21</v>
      </c>
      <c r="B9" s="3" t="s">
        <v>23</v>
      </c>
      <c r="C9" s="4">
        <v>67.64</v>
      </c>
      <c r="D9" s="4">
        <v>87.64</v>
      </c>
      <c r="E9" s="6">
        <v>7.34</v>
      </c>
      <c r="F9" s="6">
        <v>50388.72</v>
      </c>
      <c r="G9" s="6">
        <v>7.11</v>
      </c>
      <c r="H9" s="4">
        <v>69.53</v>
      </c>
      <c r="I9" s="4">
        <v>73.47</v>
      </c>
      <c r="J9" s="4">
        <v>357636</v>
      </c>
      <c r="K9" s="4">
        <v>7.42</v>
      </c>
      <c r="L9" s="7">
        <v>7.77</v>
      </c>
      <c r="M9" s="7">
        <v>69.11</v>
      </c>
      <c r="N9" s="1">
        <v>0.309</v>
      </c>
    </row>
    <row r="10" spans="1:14" ht="15.75" customHeight="1" x14ac:dyDescent="0.25">
      <c r="A10" s="3" t="s">
        <v>21</v>
      </c>
      <c r="B10" s="3" t="s">
        <v>24</v>
      </c>
      <c r="C10" s="4">
        <v>65.94</v>
      </c>
      <c r="D10" s="4">
        <v>84.9</v>
      </c>
      <c r="E10" s="6">
        <v>10.55</v>
      </c>
      <c r="F10" s="6">
        <v>34556.400000000001</v>
      </c>
      <c r="G10" s="6">
        <v>7.2</v>
      </c>
      <c r="H10" s="4">
        <v>68.62</v>
      </c>
      <c r="I10" s="4">
        <v>72.5</v>
      </c>
      <c r="J10" s="4">
        <v>406829</v>
      </c>
      <c r="K10" s="4">
        <v>9.5399999999999991</v>
      </c>
      <c r="L10" s="7">
        <v>8.41</v>
      </c>
      <c r="M10" s="7">
        <v>69.98</v>
      </c>
      <c r="N10" s="1">
        <v>0.313</v>
      </c>
    </row>
    <row r="11" spans="1:14" ht="15.75" customHeight="1" x14ac:dyDescent="0.25">
      <c r="A11" s="3" t="s">
        <v>21</v>
      </c>
      <c r="B11" s="3" t="s">
        <v>25</v>
      </c>
      <c r="C11" s="4">
        <v>73.16</v>
      </c>
      <c r="D11" s="4">
        <v>93.97</v>
      </c>
      <c r="E11" s="6">
        <v>6.8</v>
      </c>
      <c r="F11" s="6">
        <v>88437.96</v>
      </c>
      <c r="G11" s="6">
        <v>9.08</v>
      </c>
      <c r="H11" s="4">
        <v>72.14</v>
      </c>
      <c r="I11" s="4">
        <v>75.81</v>
      </c>
      <c r="J11" s="4">
        <v>398884</v>
      </c>
      <c r="K11" s="4">
        <v>8.3000000000000007</v>
      </c>
      <c r="L11" s="7">
        <v>6.98</v>
      </c>
      <c r="M11" s="7">
        <v>63.64</v>
      </c>
      <c r="N11" s="1">
        <v>0.37</v>
      </c>
    </row>
    <row r="12" spans="1:14" ht="15.75" customHeight="1" x14ac:dyDescent="0.25">
      <c r="A12" s="3" t="s">
        <v>21</v>
      </c>
      <c r="B12" s="3" t="s">
        <v>26</v>
      </c>
      <c r="C12" s="4">
        <v>67.41</v>
      </c>
      <c r="D12" s="4">
        <v>82.78</v>
      </c>
      <c r="E12" s="6">
        <v>10.42</v>
      </c>
      <c r="F12" s="6">
        <v>42012.959999999999</v>
      </c>
      <c r="G12" s="6">
        <v>7.83</v>
      </c>
      <c r="H12" s="4">
        <v>69.739999999999995</v>
      </c>
      <c r="I12" s="4">
        <v>73.739999999999995</v>
      </c>
      <c r="J12" s="4">
        <v>335134</v>
      </c>
      <c r="K12" s="4">
        <v>7.74</v>
      </c>
      <c r="L12" s="7">
        <v>7.6</v>
      </c>
      <c r="M12" s="7">
        <v>68.84</v>
      </c>
      <c r="N12" s="1">
        <v>0.30199999999999999</v>
      </c>
    </row>
    <row r="13" spans="1:14" ht="15.75" customHeight="1" x14ac:dyDescent="0.25">
      <c r="A13" s="3" t="s">
        <v>21</v>
      </c>
      <c r="B13" s="3" t="s">
        <v>27</v>
      </c>
      <c r="C13" s="4">
        <v>66.84</v>
      </c>
      <c r="D13" s="4">
        <v>86.64</v>
      </c>
      <c r="E13" s="6">
        <v>10.73</v>
      </c>
      <c r="F13" s="6">
        <v>26361.66</v>
      </c>
      <c r="G13" s="6">
        <v>7.73</v>
      </c>
      <c r="H13" s="4">
        <v>67.97</v>
      </c>
      <c r="I13" s="4">
        <v>71.88</v>
      </c>
      <c r="J13" s="4">
        <v>347917</v>
      </c>
      <c r="K13" s="4">
        <v>10.45</v>
      </c>
      <c r="L13" s="7">
        <v>4.17</v>
      </c>
      <c r="M13" s="7">
        <v>67.83</v>
      </c>
      <c r="N13" s="1">
        <v>0.378</v>
      </c>
    </row>
    <row r="14" spans="1:14" ht="15.75" customHeight="1" x14ac:dyDescent="0.25">
      <c r="A14" s="3" t="s">
        <v>21</v>
      </c>
      <c r="B14" s="3" t="s">
        <v>28</v>
      </c>
      <c r="C14" s="4">
        <v>71.45</v>
      </c>
      <c r="D14" s="4">
        <v>87.04</v>
      </c>
      <c r="E14" s="6">
        <v>7.72</v>
      </c>
      <c r="F14" s="6">
        <v>23918.89</v>
      </c>
      <c r="G14" s="5">
        <v>8</v>
      </c>
      <c r="H14" s="4">
        <v>70.39</v>
      </c>
      <c r="I14" s="4">
        <v>74.2</v>
      </c>
      <c r="J14" s="4">
        <v>405294</v>
      </c>
      <c r="K14" s="4">
        <v>6.74</v>
      </c>
      <c r="L14" s="7">
        <v>3.75</v>
      </c>
      <c r="M14" s="7">
        <v>68.47</v>
      </c>
      <c r="N14" s="1">
        <v>0.33700000000000002</v>
      </c>
    </row>
    <row r="15" spans="1:14" ht="15.75" customHeight="1" x14ac:dyDescent="0.25">
      <c r="A15" s="3" t="s">
        <v>21</v>
      </c>
      <c r="B15" s="3" t="s">
        <v>29</v>
      </c>
      <c r="C15" s="4">
        <v>70.16</v>
      </c>
      <c r="D15" s="4">
        <v>87.17</v>
      </c>
      <c r="E15" s="6">
        <v>12.76</v>
      </c>
      <c r="F15" s="6">
        <v>18450.34</v>
      </c>
      <c r="G15" s="6">
        <v>7.88</v>
      </c>
      <c r="H15" s="4">
        <v>72.180000000000007</v>
      </c>
      <c r="I15" s="4">
        <v>75.87</v>
      </c>
      <c r="J15" s="4">
        <v>371665</v>
      </c>
      <c r="K15" s="4">
        <v>6.63</v>
      </c>
      <c r="L15" s="7">
        <v>9.81</v>
      </c>
      <c r="M15" s="7">
        <v>61.8</v>
      </c>
      <c r="N15" s="1">
        <v>0.34499999999999997</v>
      </c>
    </row>
    <row r="16" spans="1:14" ht="15.75" customHeight="1" x14ac:dyDescent="0.25">
      <c r="A16" s="3" t="s">
        <v>21</v>
      </c>
      <c r="B16" s="3" t="s">
        <v>30</v>
      </c>
      <c r="C16" s="4">
        <v>70.06</v>
      </c>
      <c r="D16" s="4">
        <v>84.01</v>
      </c>
      <c r="E16" s="6">
        <v>12.01</v>
      </c>
      <c r="F16" s="6">
        <v>35523.78</v>
      </c>
      <c r="G16" s="6">
        <v>7.4</v>
      </c>
      <c r="H16" s="4">
        <v>70.540000000000006</v>
      </c>
      <c r="I16" s="4">
        <v>74.37</v>
      </c>
      <c r="J16" s="4">
        <v>416914</v>
      </c>
      <c r="K16" s="4">
        <v>9.0399999999999991</v>
      </c>
      <c r="L16" s="7">
        <v>8.11</v>
      </c>
      <c r="M16" s="7">
        <v>65.53</v>
      </c>
      <c r="N16" s="1">
        <v>0.35499999999999998</v>
      </c>
    </row>
    <row r="17" spans="1:14" ht="15.75" customHeight="1" x14ac:dyDescent="0.25">
      <c r="A17" s="3" t="s">
        <v>21</v>
      </c>
      <c r="B17" s="3" t="s">
        <v>31</v>
      </c>
      <c r="C17" s="4">
        <v>68.56</v>
      </c>
      <c r="D17" s="4">
        <v>86.69</v>
      </c>
      <c r="E17" s="6">
        <v>11.94</v>
      </c>
      <c r="F17" s="6">
        <v>24298.1</v>
      </c>
      <c r="G17" s="6">
        <v>7.49</v>
      </c>
      <c r="H17" s="4">
        <v>68.790000000000006</v>
      </c>
      <c r="I17" s="4">
        <v>72.680000000000007</v>
      </c>
      <c r="J17" s="4">
        <v>483319</v>
      </c>
      <c r="K17" s="4">
        <v>9.8800000000000008</v>
      </c>
      <c r="L17" s="7">
        <v>4.16</v>
      </c>
      <c r="M17" s="7">
        <v>66.209999999999994</v>
      </c>
      <c r="N17" s="1">
        <v>0.36699999999999999</v>
      </c>
    </row>
    <row r="18" spans="1:14" ht="15.75" customHeight="1" x14ac:dyDescent="0.25">
      <c r="A18" s="3" t="s">
        <v>21</v>
      </c>
      <c r="B18" s="3" t="s">
        <v>32</v>
      </c>
      <c r="C18" s="4">
        <v>72.69</v>
      </c>
      <c r="D18" s="4">
        <v>95.09</v>
      </c>
      <c r="E18" s="6">
        <v>10.14</v>
      </c>
      <c r="F18" s="6">
        <v>25595.02</v>
      </c>
      <c r="G18" s="6">
        <v>8.7200000000000006</v>
      </c>
      <c r="H18" s="4">
        <v>70.95</v>
      </c>
      <c r="I18" s="4">
        <v>74.78</v>
      </c>
      <c r="J18" s="4">
        <v>371870</v>
      </c>
      <c r="K18" s="4">
        <v>7.43</v>
      </c>
      <c r="L18" s="7">
        <v>7.72</v>
      </c>
      <c r="M18" s="7">
        <v>64.63</v>
      </c>
      <c r="N18" s="1">
        <v>0.39400000000000002</v>
      </c>
    </row>
    <row r="19" spans="1:14" ht="15.75" customHeight="1" x14ac:dyDescent="0.25">
      <c r="A19" s="3" t="s">
        <v>21</v>
      </c>
      <c r="B19" s="3" t="s">
        <v>33</v>
      </c>
      <c r="C19" s="4">
        <v>68.55</v>
      </c>
      <c r="D19" s="4">
        <v>88.17</v>
      </c>
      <c r="E19" s="6">
        <v>12.77</v>
      </c>
      <c r="F19" s="6">
        <v>61259.61</v>
      </c>
      <c r="G19" s="6">
        <v>6.83</v>
      </c>
      <c r="H19" s="4">
        <v>70.239999999999995</v>
      </c>
      <c r="I19" s="4">
        <v>74.040000000000006</v>
      </c>
      <c r="J19" s="4">
        <v>499805</v>
      </c>
      <c r="K19" s="4">
        <v>5.99</v>
      </c>
      <c r="L19" s="7">
        <v>6.49</v>
      </c>
      <c r="M19" s="7">
        <v>69.08</v>
      </c>
      <c r="N19" s="1">
        <v>0.3</v>
      </c>
    </row>
    <row r="20" spans="1:14" ht="15.75" customHeight="1" x14ac:dyDescent="0.25">
      <c r="A20" s="3" t="s">
        <v>21</v>
      </c>
      <c r="B20" s="3" t="s">
        <v>34</v>
      </c>
      <c r="C20" s="4">
        <v>69.87</v>
      </c>
      <c r="D20" s="4">
        <v>90.95</v>
      </c>
      <c r="E20" s="6">
        <v>9.75</v>
      </c>
      <c r="F20" s="6">
        <v>30202.58</v>
      </c>
      <c r="G20" s="6">
        <v>7.2</v>
      </c>
      <c r="H20" s="4">
        <v>71.03</v>
      </c>
      <c r="I20" s="4">
        <v>74.790000000000006</v>
      </c>
      <c r="J20" s="4">
        <v>372308</v>
      </c>
      <c r="K20" s="4">
        <v>7.06</v>
      </c>
      <c r="L20" s="7">
        <v>7.77</v>
      </c>
      <c r="M20" s="7">
        <v>68.87</v>
      </c>
      <c r="N20" s="1">
        <v>0.36</v>
      </c>
    </row>
    <row r="21" spans="1:14" ht="15.75" customHeight="1" x14ac:dyDescent="0.25">
      <c r="A21" s="3" t="s">
        <v>21</v>
      </c>
      <c r="B21" s="3" t="s">
        <v>35</v>
      </c>
      <c r="C21" s="4">
        <v>71.56</v>
      </c>
      <c r="D21" s="4">
        <v>86.94</v>
      </c>
      <c r="E21" s="6">
        <v>8.6999999999999993</v>
      </c>
      <c r="F21" s="6">
        <v>49292.98</v>
      </c>
      <c r="G21" s="6">
        <v>8.11</v>
      </c>
      <c r="H21" s="4">
        <v>69.5</v>
      </c>
      <c r="I21" s="4">
        <v>73.37</v>
      </c>
      <c r="J21" s="4">
        <v>403663</v>
      </c>
      <c r="K21" s="4">
        <v>6.72</v>
      </c>
      <c r="L21" s="7">
        <v>8.75</v>
      </c>
      <c r="M21" s="7">
        <v>65.209999999999994</v>
      </c>
      <c r="N21" s="1">
        <v>0.36699999999999999</v>
      </c>
    </row>
    <row r="22" spans="1:14" ht="15.75" customHeight="1" x14ac:dyDescent="0.25">
      <c r="A22" s="3" t="s">
        <v>21</v>
      </c>
      <c r="B22" s="3" t="s">
        <v>36</v>
      </c>
      <c r="C22" s="4">
        <v>71.739999999999995</v>
      </c>
      <c r="D22" s="4">
        <v>90.5</v>
      </c>
      <c r="E22" s="6">
        <v>8.44</v>
      </c>
      <c r="F22" s="6">
        <v>177470.9</v>
      </c>
      <c r="G22" s="6">
        <v>7.96</v>
      </c>
      <c r="H22" s="4">
        <v>70.69</v>
      </c>
      <c r="I22" s="4">
        <v>74.5</v>
      </c>
      <c r="J22" s="4">
        <v>521158</v>
      </c>
      <c r="K22" s="4">
        <v>6.73</v>
      </c>
      <c r="L22" s="7">
        <v>9.8699999999999992</v>
      </c>
      <c r="M22" s="7">
        <v>65.510000000000005</v>
      </c>
      <c r="N22" s="1">
        <v>0.35299999999999998</v>
      </c>
    </row>
    <row r="23" spans="1:14" ht="15.75" customHeight="1" x14ac:dyDescent="0.25">
      <c r="A23" s="3" t="s">
        <v>21</v>
      </c>
      <c r="B23" s="3" t="s">
        <v>37</v>
      </c>
      <c r="C23" s="4">
        <v>75.22</v>
      </c>
      <c r="D23" s="4">
        <v>89.37</v>
      </c>
      <c r="E23" s="6">
        <v>5.01</v>
      </c>
      <c r="F23" s="6">
        <v>265120.5</v>
      </c>
      <c r="G23" s="6">
        <v>9.5299999999999994</v>
      </c>
      <c r="H23" s="4">
        <v>72.17</v>
      </c>
      <c r="I23" s="4">
        <v>75.87</v>
      </c>
      <c r="J23" s="4">
        <v>579221</v>
      </c>
      <c r="K23" s="4">
        <v>4.3</v>
      </c>
      <c r="L23" s="7">
        <v>10.31</v>
      </c>
      <c r="M23" s="7">
        <v>65.41</v>
      </c>
      <c r="N23" s="1">
        <v>0.373</v>
      </c>
    </row>
    <row r="24" spans="1:14" ht="15.75" customHeight="1" x14ac:dyDescent="0.25">
      <c r="A24" s="3" t="s">
        <v>21</v>
      </c>
      <c r="B24" s="3" t="s">
        <v>38</v>
      </c>
      <c r="C24" s="4">
        <v>69.040000000000006</v>
      </c>
      <c r="D24" s="4">
        <v>79.69</v>
      </c>
      <c r="E24" s="6">
        <v>10.82</v>
      </c>
      <c r="F24" s="6">
        <v>33393.29</v>
      </c>
      <c r="G24" s="6">
        <v>8.2200000000000006</v>
      </c>
      <c r="H24" s="4">
        <v>70.88</v>
      </c>
      <c r="I24" s="4">
        <v>74.67</v>
      </c>
      <c r="J24" s="4">
        <v>393956</v>
      </c>
      <c r="K24" s="4">
        <v>7.81</v>
      </c>
      <c r="L24" s="7">
        <v>9.6300000000000008</v>
      </c>
      <c r="M24" s="7">
        <v>64.37</v>
      </c>
      <c r="N24" s="1">
        <v>0.36799999999999999</v>
      </c>
    </row>
    <row r="25" spans="1:14" ht="15.75" customHeight="1" x14ac:dyDescent="0.25">
      <c r="A25" s="3" t="s">
        <v>21</v>
      </c>
      <c r="B25" s="3" t="s">
        <v>39</v>
      </c>
      <c r="C25" s="4">
        <v>69.03</v>
      </c>
      <c r="D25" s="4">
        <v>90.2</v>
      </c>
      <c r="E25" s="6">
        <v>9.32</v>
      </c>
      <c r="F25" s="6">
        <v>2383665</v>
      </c>
      <c r="G25" s="5">
        <v>8.0299999999999994</v>
      </c>
      <c r="H25" s="4">
        <v>69.94</v>
      </c>
      <c r="I25" s="4">
        <v>73.77</v>
      </c>
      <c r="J25" s="4">
        <v>411174</v>
      </c>
      <c r="K25" s="4">
        <v>5.77</v>
      </c>
      <c r="L25" s="7">
        <v>1.56</v>
      </c>
      <c r="M25" s="7">
        <v>79.92</v>
      </c>
      <c r="N25" s="1">
        <v>0.29399999999999998</v>
      </c>
    </row>
    <row r="26" spans="1:14" ht="15.75" customHeight="1" x14ac:dyDescent="0.25">
      <c r="A26" s="3" t="s">
        <v>21</v>
      </c>
      <c r="B26" s="3" t="s">
        <v>40</v>
      </c>
      <c r="C26" s="4">
        <v>77.17</v>
      </c>
      <c r="D26" s="4">
        <v>90.97</v>
      </c>
      <c r="E26" s="6">
        <v>7.1</v>
      </c>
      <c r="F26" s="6">
        <v>35258.870000000003</v>
      </c>
      <c r="G26" s="6">
        <v>10.63</v>
      </c>
      <c r="H26" s="4">
        <v>72.25</v>
      </c>
      <c r="I26" s="4">
        <v>75.959999999999994</v>
      </c>
      <c r="J26" s="4">
        <v>608949</v>
      </c>
      <c r="K26" s="4">
        <v>5.35</v>
      </c>
      <c r="L26" s="7">
        <v>10.78</v>
      </c>
      <c r="M26" s="7">
        <v>64.209999999999994</v>
      </c>
      <c r="N26" s="1">
        <v>0.43</v>
      </c>
    </row>
    <row r="27" spans="1:14" x14ac:dyDescent="0.25">
      <c r="A27" s="3" t="s">
        <v>21</v>
      </c>
      <c r="B27" s="3" t="s">
        <v>41</v>
      </c>
      <c r="C27" s="4">
        <v>75.400000000000006</v>
      </c>
      <c r="D27" s="4">
        <v>91.83</v>
      </c>
      <c r="E27" s="5">
        <v>8.02</v>
      </c>
      <c r="F27" s="6">
        <v>9324.16</v>
      </c>
      <c r="G27" s="6">
        <v>10.14</v>
      </c>
      <c r="H27" s="4">
        <v>70.92</v>
      </c>
      <c r="I27" s="4">
        <v>74.72</v>
      </c>
      <c r="J27" s="4">
        <v>594118</v>
      </c>
      <c r="K27" s="4">
        <v>8.4600000000000009</v>
      </c>
      <c r="L27" s="7">
        <v>8.83</v>
      </c>
      <c r="M27" s="7">
        <v>62.48</v>
      </c>
      <c r="N27" s="1">
        <v>0.48199999999999998</v>
      </c>
    </row>
    <row r="28" spans="1:14" x14ac:dyDescent="0.25">
      <c r="A28" s="3" t="s">
        <v>21</v>
      </c>
      <c r="B28" s="3" t="s">
        <v>42</v>
      </c>
      <c r="C28" s="4">
        <v>82.5</v>
      </c>
      <c r="D28" s="4">
        <v>94.81</v>
      </c>
      <c r="E28" s="6">
        <v>4.25</v>
      </c>
      <c r="F28" s="6">
        <v>211250.7</v>
      </c>
      <c r="G28" s="5">
        <v>11</v>
      </c>
      <c r="H28" s="4">
        <v>72.92</v>
      </c>
      <c r="I28" s="4">
        <v>76.459999999999994</v>
      </c>
      <c r="J28" s="4">
        <v>545675</v>
      </c>
      <c r="K28" s="4">
        <v>4.55</v>
      </c>
      <c r="L28" s="7">
        <v>9.5500000000000007</v>
      </c>
      <c r="M28" s="7">
        <v>69.42</v>
      </c>
      <c r="N28" s="1">
        <v>0.45900000000000002</v>
      </c>
    </row>
    <row r="29" spans="1:14" x14ac:dyDescent="0.25">
      <c r="A29" s="3" t="s">
        <v>21</v>
      </c>
      <c r="B29" s="3" t="s">
        <v>43</v>
      </c>
      <c r="C29" s="4">
        <v>75.89</v>
      </c>
      <c r="D29" s="4">
        <v>94.91</v>
      </c>
      <c r="E29" s="6">
        <v>9.82</v>
      </c>
      <c r="F29" s="6">
        <v>18030.25</v>
      </c>
      <c r="G29" s="6">
        <v>10.33</v>
      </c>
      <c r="H29" s="4">
        <v>70.819999999999993</v>
      </c>
      <c r="I29" s="4">
        <v>74.61</v>
      </c>
      <c r="J29" s="4">
        <v>485613</v>
      </c>
      <c r="K29" s="4">
        <v>7.97</v>
      </c>
      <c r="L29" s="7">
        <v>8.42</v>
      </c>
      <c r="M29" s="7">
        <v>65.42</v>
      </c>
      <c r="N29" s="1">
        <v>0.46800000000000003</v>
      </c>
    </row>
    <row r="30" spans="1:14" x14ac:dyDescent="0.25">
      <c r="A30" s="3" t="s">
        <v>21</v>
      </c>
      <c r="B30" s="3" t="s">
        <v>44</v>
      </c>
      <c r="C30" s="4">
        <v>82.46</v>
      </c>
      <c r="D30" s="4">
        <v>93.49</v>
      </c>
      <c r="E30" s="6">
        <v>4.43</v>
      </c>
      <c r="F30" s="6">
        <v>73260.649999999994</v>
      </c>
      <c r="G30" s="6">
        <v>11.44</v>
      </c>
      <c r="H30" s="4">
        <v>73.7</v>
      </c>
      <c r="I30" s="4">
        <v>77.180000000000007</v>
      </c>
      <c r="J30" s="4">
        <v>731392</v>
      </c>
      <c r="K30" s="4">
        <v>3.33</v>
      </c>
      <c r="L30" s="7">
        <v>8.81</v>
      </c>
      <c r="M30" s="7">
        <v>65.33</v>
      </c>
      <c r="N30" s="1">
        <v>0.441</v>
      </c>
    </row>
    <row r="31" spans="1:14" x14ac:dyDescent="0.25">
      <c r="A31" s="3" t="s">
        <v>21</v>
      </c>
      <c r="B31" s="3" t="s">
        <v>45</v>
      </c>
      <c r="C31" s="4">
        <v>81.86</v>
      </c>
      <c r="D31" s="4">
        <v>93.47</v>
      </c>
      <c r="E31" s="6">
        <v>2.5299999999999998</v>
      </c>
      <c r="F31" s="6">
        <v>52564.98</v>
      </c>
      <c r="G31" s="6">
        <v>11.47</v>
      </c>
      <c r="H31" s="4">
        <v>73.08</v>
      </c>
      <c r="I31" s="4">
        <v>76.91</v>
      </c>
      <c r="J31" s="4">
        <v>744771</v>
      </c>
      <c r="K31" s="4">
        <v>2.15</v>
      </c>
      <c r="L31" s="7">
        <v>7.82</v>
      </c>
      <c r="M31" s="7">
        <v>63.35</v>
      </c>
      <c r="N31" s="1">
        <v>0.39400000000000002</v>
      </c>
    </row>
    <row r="32" spans="1:14" x14ac:dyDescent="0.25">
      <c r="A32" s="3" t="s">
        <v>21</v>
      </c>
      <c r="B32" s="3" t="s">
        <v>46</v>
      </c>
      <c r="C32" s="4">
        <v>78.77</v>
      </c>
      <c r="D32" s="4">
        <v>91.97</v>
      </c>
      <c r="E32" s="6">
        <v>5.1100000000000003</v>
      </c>
      <c r="F32" s="6">
        <v>24652.73</v>
      </c>
      <c r="G32" s="6">
        <v>11.21</v>
      </c>
      <c r="H32" s="4">
        <v>72.66</v>
      </c>
      <c r="I32" s="4">
        <v>76.260000000000005</v>
      </c>
      <c r="J32" s="4">
        <v>549450</v>
      </c>
      <c r="K32" s="4">
        <v>4.63</v>
      </c>
      <c r="L32" s="7">
        <v>10.77</v>
      </c>
      <c r="M32" s="7">
        <v>67.22</v>
      </c>
      <c r="N32" s="1">
        <v>0.40799999999999997</v>
      </c>
    </row>
    <row r="33" spans="1:14" x14ac:dyDescent="0.25">
      <c r="A33" s="3" t="s">
        <v>21</v>
      </c>
      <c r="B33" s="3" t="s">
        <v>47</v>
      </c>
      <c r="C33" s="4">
        <v>73.83</v>
      </c>
      <c r="D33" s="4">
        <v>91.87</v>
      </c>
      <c r="E33" s="6">
        <v>12.72</v>
      </c>
      <c r="F33" s="6">
        <v>16781.04</v>
      </c>
      <c r="G33" s="6">
        <v>9.5299999999999994</v>
      </c>
      <c r="H33" s="4">
        <v>70.73</v>
      </c>
      <c r="I33" s="4">
        <v>74.510000000000005</v>
      </c>
      <c r="J33" s="4">
        <v>498711</v>
      </c>
      <c r="K33" s="4">
        <v>7.92</v>
      </c>
      <c r="L33" s="7">
        <v>6.62</v>
      </c>
      <c r="M33" s="7">
        <v>65.989999999999995</v>
      </c>
      <c r="N33" s="1">
        <v>0.40500000000000003</v>
      </c>
    </row>
    <row r="34" spans="1:14" x14ac:dyDescent="0.25">
      <c r="A34" s="3" t="s">
        <v>21</v>
      </c>
      <c r="B34" s="3" t="s">
        <v>48</v>
      </c>
      <c r="C34" s="4">
        <v>72.55</v>
      </c>
      <c r="D34" s="4">
        <v>87.67</v>
      </c>
      <c r="E34" s="6">
        <v>6.73</v>
      </c>
      <c r="F34" s="6">
        <v>3516.57</v>
      </c>
      <c r="G34" s="6">
        <v>8.7799999999999994</v>
      </c>
      <c r="H34" s="4">
        <v>69.53</v>
      </c>
      <c r="I34" s="4">
        <v>73.39</v>
      </c>
      <c r="J34" s="4">
        <v>373510</v>
      </c>
      <c r="K34" s="4">
        <v>6.4</v>
      </c>
      <c r="L34" s="7">
        <v>5.53</v>
      </c>
      <c r="M34" s="7">
        <v>63.76</v>
      </c>
      <c r="N34" s="1">
        <v>0.36199999999999999</v>
      </c>
    </row>
    <row r="35" spans="1:14" x14ac:dyDescent="0.25">
      <c r="A35" s="3" t="s">
        <v>49</v>
      </c>
      <c r="B35" s="3" t="s">
        <v>50</v>
      </c>
      <c r="C35" s="4">
        <v>65.84</v>
      </c>
      <c r="D35" s="4">
        <v>86.93</v>
      </c>
      <c r="E35" s="6">
        <v>9.32</v>
      </c>
      <c r="F35" s="6">
        <v>20814.77</v>
      </c>
      <c r="G35" s="6">
        <v>7.13</v>
      </c>
      <c r="H35" s="4">
        <v>63.17</v>
      </c>
      <c r="I35" s="4">
        <v>67.099999999999994</v>
      </c>
      <c r="J35" s="4">
        <v>416248</v>
      </c>
      <c r="K35" s="4">
        <v>4.3899999999999997</v>
      </c>
      <c r="L35" s="7">
        <v>9.24</v>
      </c>
      <c r="M35" s="7">
        <v>61.66</v>
      </c>
      <c r="N35" s="1">
        <v>0.30199999999999999</v>
      </c>
    </row>
    <row r="36" spans="1:14" x14ac:dyDescent="0.25">
      <c r="A36" s="3" t="s">
        <v>49</v>
      </c>
      <c r="B36" s="3" t="s">
        <v>51</v>
      </c>
      <c r="C36" s="4">
        <v>64.709999999999994</v>
      </c>
      <c r="D36" s="4">
        <v>80.2</v>
      </c>
      <c r="E36" s="6">
        <v>8.91</v>
      </c>
      <c r="F36" s="6">
        <v>22087.37</v>
      </c>
      <c r="G36" s="6">
        <v>6.59</v>
      </c>
      <c r="H36" s="4">
        <v>65.69</v>
      </c>
      <c r="I36" s="4">
        <v>69.66</v>
      </c>
      <c r="J36" s="4">
        <v>380681</v>
      </c>
      <c r="K36" s="4">
        <v>3.45</v>
      </c>
      <c r="L36" s="7">
        <v>8.5500000000000007</v>
      </c>
      <c r="M36" s="7">
        <v>66.17</v>
      </c>
      <c r="N36" s="1">
        <v>0.312</v>
      </c>
    </row>
    <row r="37" spans="1:14" x14ac:dyDescent="0.25">
      <c r="A37" s="3" t="s">
        <v>49</v>
      </c>
      <c r="B37" s="3" t="s">
        <v>52</v>
      </c>
      <c r="C37" s="4">
        <v>72.97</v>
      </c>
      <c r="D37" s="4">
        <v>91.24</v>
      </c>
      <c r="E37" s="6">
        <v>6.92</v>
      </c>
      <c r="F37" s="6">
        <v>103219.4</v>
      </c>
      <c r="G37" s="6">
        <v>8.92</v>
      </c>
      <c r="H37" s="4">
        <v>68.25</v>
      </c>
      <c r="I37" s="4">
        <v>72.19</v>
      </c>
      <c r="J37" s="4">
        <v>576122</v>
      </c>
      <c r="K37" s="4">
        <v>2.2799999999999998</v>
      </c>
      <c r="L37" s="7">
        <v>7.88</v>
      </c>
      <c r="M37" s="7">
        <v>67.05</v>
      </c>
      <c r="N37" s="1">
        <v>0.28199999999999997</v>
      </c>
    </row>
    <row r="38" spans="1:14" x14ac:dyDescent="0.25">
      <c r="A38" s="3" t="s">
        <v>49</v>
      </c>
      <c r="B38" s="3" t="s">
        <v>53</v>
      </c>
      <c r="C38" s="4">
        <v>67.75</v>
      </c>
      <c r="D38" s="4">
        <v>92.32</v>
      </c>
      <c r="E38" s="6">
        <v>4.96</v>
      </c>
      <c r="F38" s="6">
        <v>57605.99</v>
      </c>
      <c r="G38" s="6">
        <v>7.78</v>
      </c>
      <c r="H38" s="4">
        <v>63.2</v>
      </c>
      <c r="I38" s="4">
        <v>67.03</v>
      </c>
      <c r="J38" s="4">
        <v>385864</v>
      </c>
      <c r="K38" s="4">
        <v>2.9</v>
      </c>
      <c r="L38" s="7">
        <v>10.61</v>
      </c>
      <c r="M38" s="7">
        <v>64.25</v>
      </c>
      <c r="N38" s="1">
        <v>0.28399999999999997</v>
      </c>
    </row>
    <row r="39" spans="1:14" x14ac:dyDescent="0.25">
      <c r="A39" s="3" t="s">
        <v>49</v>
      </c>
      <c r="B39" s="3" t="s">
        <v>54</v>
      </c>
      <c r="C39" s="4">
        <v>78.900000000000006</v>
      </c>
      <c r="D39" s="4">
        <v>94.73</v>
      </c>
      <c r="E39" s="6">
        <v>5.77</v>
      </c>
      <c r="F39" s="6">
        <v>112778.1</v>
      </c>
      <c r="G39" s="6">
        <v>10.84</v>
      </c>
      <c r="H39" s="4">
        <v>69.86</v>
      </c>
      <c r="I39" s="4">
        <v>73.8</v>
      </c>
      <c r="J39" s="4">
        <v>695225</v>
      </c>
      <c r="K39" s="4">
        <v>1.71</v>
      </c>
      <c r="L39" s="7">
        <v>7.16</v>
      </c>
      <c r="M39" s="7">
        <v>66.08</v>
      </c>
      <c r="N39" s="1">
        <v>0.38300000000000001</v>
      </c>
    </row>
    <row r="40" spans="1:14" x14ac:dyDescent="0.25">
      <c r="A40" s="3" t="s">
        <v>49</v>
      </c>
      <c r="B40" s="3" t="s">
        <v>55</v>
      </c>
      <c r="C40" s="4">
        <v>73.95</v>
      </c>
      <c r="D40" s="4">
        <v>87.57</v>
      </c>
      <c r="E40" s="6">
        <v>3.64</v>
      </c>
      <c r="F40" s="6">
        <v>80646.38</v>
      </c>
      <c r="G40" s="6">
        <v>10.34</v>
      </c>
      <c r="H40" s="4">
        <v>64.95</v>
      </c>
      <c r="I40" s="4">
        <v>68.95</v>
      </c>
      <c r="J40" s="4">
        <v>572780</v>
      </c>
      <c r="K40" s="4">
        <v>2.04</v>
      </c>
      <c r="L40" s="7">
        <v>8.1</v>
      </c>
      <c r="M40" s="7">
        <v>67.39</v>
      </c>
      <c r="N40" s="1">
        <v>0.318</v>
      </c>
    </row>
    <row r="41" spans="1:14" x14ac:dyDescent="0.25">
      <c r="A41" s="3" t="s">
        <v>49</v>
      </c>
      <c r="B41" s="3" t="s">
        <v>56</v>
      </c>
      <c r="C41" s="4">
        <v>72.98</v>
      </c>
      <c r="D41" s="4">
        <v>92.63</v>
      </c>
      <c r="E41" s="6">
        <v>5.94</v>
      </c>
      <c r="F41" s="6">
        <v>24495.02</v>
      </c>
      <c r="G41" s="6">
        <v>8.9</v>
      </c>
      <c r="H41" s="4">
        <v>66.19</v>
      </c>
      <c r="I41" s="4">
        <v>70.48</v>
      </c>
      <c r="J41" s="4">
        <v>460613</v>
      </c>
      <c r="K41" s="4">
        <v>2.42</v>
      </c>
      <c r="L41" s="7">
        <v>8.17</v>
      </c>
      <c r="M41" s="7">
        <v>64.8</v>
      </c>
      <c r="N41" s="1">
        <v>0.35399999999999998</v>
      </c>
    </row>
    <row r="42" spans="1:14" x14ac:dyDescent="0.25">
      <c r="A42" s="3" t="s">
        <v>49</v>
      </c>
      <c r="B42" s="3" t="s">
        <v>57</v>
      </c>
      <c r="C42" s="4">
        <v>81.95</v>
      </c>
      <c r="D42" s="4">
        <v>93.96</v>
      </c>
      <c r="E42" s="6">
        <v>2.5</v>
      </c>
      <c r="F42" s="6">
        <v>66021.240000000005</v>
      </c>
      <c r="G42" s="6">
        <v>11.84</v>
      </c>
      <c r="H42" s="4">
        <v>70.849999999999994</v>
      </c>
      <c r="I42" s="4">
        <v>74.62</v>
      </c>
      <c r="J42" s="4">
        <v>712717</v>
      </c>
      <c r="K42" s="4">
        <v>1.5</v>
      </c>
      <c r="L42" s="7">
        <v>6.59</v>
      </c>
      <c r="M42" s="7">
        <v>58.67</v>
      </c>
      <c r="N42" s="1">
        <v>0.35899999999999999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57"/>
  <sheetViews>
    <sheetView topLeftCell="D2" workbookViewId="0">
      <selection activeCell="K2" sqref="K2:K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73.39</v>
      </c>
      <c r="D2" s="4">
        <v>93.6</v>
      </c>
      <c r="E2" s="6">
        <v>13.13</v>
      </c>
      <c r="F2" s="6">
        <v>3305.13</v>
      </c>
      <c r="G2" s="6">
        <v>9.0299999999999994</v>
      </c>
      <c r="H2" s="4">
        <v>67.680000000000007</v>
      </c>
      <c r="I2" s="4">
        <v>71.63</v>
      </c>
      <c r="J2" s="4">
        <v>743820</v>
      </c>
      <c r="K2" s="4">
        <v>3.63</v>
      </c>
      <c r="L2" s="7">
        <v>8.11</v>
      </c>
      <c r="M2" s="7">
        <v>73.7</v>
      </c>
      <c r="N2" s="1">
        <v>0.43</v>
      </c>
    </row>
    <row r="3" spans="1:14" ht="15.75" customHeight="1" x14ac:dyDescent="0.25">
      <c r="A3" s="3" t="s">
        <v>14</v>
      </c>
      <c r="B3" s="3" t="s">
        <v>16</v>
      </c>
      <c r="C3" s="4">
        <v>86.07</v>
      </c>
      <c r="D3" s="4">
        <v>97.16</v>
      </c>
      <c r="E3" s="5">
        <v>3.1</v>
      </c>
      <c r="F3" s="6">
        <v>475806.2</v>
      </c>
      <c r="G3" s="6">
        <v>11.75</v>
      </c>
      <c r="H3" s="4">
        <v>73.03</v>
      </c>
      <c r="I3" s="4">
        <v>76.69</v>
      </c>
      <c r="J3" s="4">
        <v>891580</v>
      </c>
      <c r="K3" s="4">
        <v>2.2799999999999998</v>
      </c>
      <c r="L3" s="7">
        <v>5.37</v>
      </c>
      <c r="M3" s="7">
        <v>66.05</v>
      </c>
      <c r="N3" s="1">
        <v>0.43</v>
      </c>
    </row>
    <row r="4" spans="1:14" ht="15.75" customHeight="1" x14ac:dyDescent="0.25">
      <c r="A4" s="3" t="s">
        <v>14</v>
      </c>
      <c r="B4" s="3" t="s">
        <v>17</v>
      </c>
      <c r="C4" s="4">
        <v>84.13</v>
      </c>
      <c r="D4" s="4">
        <v>95.98</v>
      </c>
      <c r="E4" s="5">
        <v>4.2</v>
      </c>
      <c r="F4" s="6">
        <v>346508.7</v>
      </c>
      <c r="G4" s="6">
        <v>11.88</v>
      </c>
      <c r="H4" s="4">
        <v>73.38</v>
      </c>
      <c r="I4" s="4">
        <v>77.010000000000005</v>
      </c>
      <c r="J4" s="4">
        <v>669713</v>
      </c>
      <c r="K4" s="4">
        <v>3.08</v>
      </c>
      <c r="L4" s="7">
        <v>7.24</v>
      </c>
      <c r="M4" s="7">
        <v>65.11</v>
      </c>
      <c r="N4" s="1">
        <v>0.43</v>
      </c>
    </row>
    <row r="5" spans="1:14" ht="15.75" customHeight="1" x14ac:dyDescent="0.25">
      <c r="A5" s="3" t="s">
        <v>14</v>
      </c>
      <c r="B5" s="3" t="s">
        <v>18</v>
      </c>
      <c r="C5" s="4">
        <v>82.53</v>
      </c>
      <c r="D5" s="4">
        <v>96.28</v>
      </c>
      <c r="E5" s="6">
        <v>4.68</v>
      </c>
      <c r="F5" s="6">
        <v>506560.7</v>
      </c>
      <c r="G5" s="6">
        <v>11.54</v>
      </c>
      <c r="H5" s="4">
        <v>73.06</v>
      </c>
      <c r="I5" s="4">
        <v>76.709999999999994</v>
      </c>
      <c r="J5" s="4">
        <v>784679</v>
      </c>
      <c r="K5" s="4">
        <v>2.91</v>
      </c>
      <c r="L5" s="7">
        <v>6.42</v>
      </c>
      <c r="M5" s="7">
        <v>63.98</v>
      </c>
      <c r="N5" s="1">
        <v>0.43</v>
      </c>
    </row>
    <row r="6" spans="1:14" ht="15.75" customHeight="1" x14ac:dyDescent="0.25">
      <c r="A6" s="3" t="s">
        <v>14</v>
      </c>
      <c r="B6" s="3" t="s">
        <v>19</v>
      </c>
      <c r="C6" s="4">
        <v>83.02</v>
      </c>
      <c r="D6" s="4">
        <v>95.39</v>
      </c>
      <c r="E6" s="6">
        <v>4.09</v>
      </c>
      <c r="F6" s="6">
        <v>363931.2</v>
      </c>
      <c r="G6" s="6">
        <v>11.23</v>
      </c>
      <c r="H6" s="4">
        <v>72.39</v>
      </c>
      <c r="I6" s="4">
        <v>76.09</v>
      </c>
      <c r="J6" s="4">
        <v>657247</v>
      </c>
      <c r="K6" s="4">
        <v>2.0299999999999998</v>
      </c>
      <c r="L6" s="7">
        <v>6.39</v>
      </c>
      <c r="M6" s="7">
        <v>64.8</v>
      </c>
      <c r="N6" s="1">
        <v>0.43</v>
      </c>
    </row>
    <row r="7" spans="1:14" ht="15.75" customHeight="1" x14ac:dyDescent="0.25">
      <c r="A7" s="3" t="s">
        <v>14</v>
      </c>
      <c r="B7" s="3" t="s">
        <v>20</v>
      </c>
      <c r="C7" s="4">
        <v>81.11</v>
      </c>
      <c r="D7" s="4">
        <v>94.03</v>
      </c>
      <c r="E7" s="6">
        <v>6.78</v>
      </c>
      <c r="F7" s="6">
        <v>364823.9</v>
      </c>
      <c r="G7" s="6">
        <v>10.84</v>
      </c>
      <c r="H7" s="4">
        <v>71.8</v>
      </c>
      <c r="I7" s="4">
        <v>75.55</v>
      </c>
      <c r="J7" s="4">
        <v>684557</v>
      </c>
      <c r="K7" s="4">
        <v>2.62</v>
      </c>
      <c r="L7" s="7">
        <v>7.05</v>
      </c>
      <c r="M7" s="7">
        <v>65.5</v>
      </c>
      <c r="N7" s="1">
        <v>0.43</v>
      </c>
    </row>
    <row r="8" spans="1:14" ht="15.75" customHeight="1" x14ac:dyDescent="0.25">
      <c r="A8" s="3" t="s">
        <v>21</v>
      </c>
      <c r="B8" s="3" t="s">
        <v>22</v>
      </c>
      <c r="C8" s="4">
        <v>71.78</v>
      </c>
      <c r="D8" s="4">
        <v>90.2</v>
      </c>
      <c r="E8" s="6">
        <v>7.27</v>
      </c>
      <c r="F8" s="6">
        <v>176683.6</v>
      </c>
      <c r="G8" s="6">
        <v>8.3699999999999992</v>
      </c>
      <c r="H8" s="4">
        <v>69.97</v>
      </c>
      <c r="I8" s="4">
        <v>73.959999999999994</v>
      </c>
      <c r="J8" s="4">
        <v>482174</v>
      </c>
      <c r="K8" s="4">
        <v>5.3</v>
      </c>
      <c r="L8" s="7">
        <v>8.4700000000000006</v>
      </c>
      <c r="M8" s="7">
        <v>64.22</v>
      </c>
      <c r="N8" s="1">
        <v>0.36899999999999999</v>
      </c>
    </row>
    <row r="9" spans="1:14" ht="15.75" customHeight="1" x14ac:dyDescent="0.25">
      <c r="A9" s="3" t="s">
        <v>21</v>
      </c>
      <c r="B9" s="3" t="s">
        <v>23</v>
      </c>
      <c r="C9" s="4">
        <v>68.489999999999995</v>
      </c>
      <c r="D9" s="4">
        <v>88.3</v>
      </c>
      <c r="E9" s="6">
        <v>7.01</v>
      </c>
      <c r="F9" s="6">
        <v>52993.98</v>
      </c>
      <c r="G9" s="6">
        <v>7.33</v>
      </c>
      <c r="H9" s="4">
        <v>69.89</v>
      </c>
      <c r="I9" s="4">
        <v>73.88</v>
      </c>
      <c r="J9" s="4">
        <v>392705</v>
      </c>
      <c r="K9" s="4">
        <v>5.98</v>
      </c>
      <c r="L9" s="7">
        <v>7.32</v>
      </c>
      <c r="M9" s="7">
        <v>67.75</v>
      </c>
      <c r="N9" s="1">
        <v>0.35499999999999998</v>
      </c>
    </row>
    <row r="10" spans="1:14" ht="15.75" customHeight="1" x14ac:dyDescent="0.25">
      <c r="A10" s="3" t="s">
        <v>21</v>
      </c>
      <c r="B10" s="3" t="s">
        <v>24</v>
      </c>
      <c r="C10" s="4">
        <v>66.55</v>
      </c>
      <c r="D10" s="4">
        <v>85.17</v>
      </c>
      <c r="E10" s="6">
        <v>10.220000000000001</v>
      </c>
      <c r="F10" s="6">
        <v>36339.550000000003</v>
      </c>
      <c r="G10" s="6">
        <v>7.22</v>
      </c>
      <c r="H10" s="4">
        <v>68.87</v>
      </c>
      <c r="I10" s="4">
        <v>72.81</v>
      </c>
      <c r="J10" s="4">
        <v>437327</v>
      </c>
      <c r="K10" s="4">
        <v>7.02</v>
      </c>
      <c r="L10" s="7">
        <v>7.71</v>
      </c>
      <c r="M10" s="7">
        <v>72.31</v>
      </c>
      <c r="N10" s="1">
        <v>0.31900000000000001</v>
      </c>
    </row>
    <row r="11" spans="1:14" ht="15.75" customHeight="1" x14ac:dyDescent="0.25">
      <c r="A11" s="3" t="s">
        <v>21</v>
      </c>
      <c r="B11" s="3" t="s">
        <v>25</v>
      </c>
      <c r="C11" s="4">
        <v>73.739999999999995</v>
      </c>
      <c r="D11" s="4">
        <v>94.03</v>
      </c>
      <c r="E11" s="6">
        <v>6.4</v>
      </c>
      <c r="F11" s="6">
        <v>92830.17</v>
      </c>
      <c r="G11" s="6">
        <v>9.1</v>
      </c>
      <c r="H11" s="4">
        <v>72.5</v>
      </c>
      <c r="I11" s="4">
        <v>76.2</v>
      </c>
      <c r="J11" s="4">
        <v>426069</v>
      </c>
      <c r="K11" s="4">
        <v>5.19</v>
      </c>
      <c r="L11" s="7">
        <v>6.52</v>
      </c>
      <c r="M11" s="7">
        <v>67.099999999999994</v>
      </c>
      <c r="N11" s="1">
        <v>0.34799999999999998</v>
      </c>
    </row>
    <row r="12" spans="1:14" ht="15.75" customHeight="1" x14ac:dyDescent="0.25">
      <c r="A12" s="3" t="s">
        <v>21</v>
      </c>
      <c r="B12" s="3" t="s">
        <v>26</v>
      </c>
      <c r="C12" s="4">
        <v>68.11</v>
      </c>
      <c r="D12" s="4">
        <v>83.37</v>
      </c>
      <c r="E12" s="6">
        <v>9.77</v>
      </c>
      <c r="F12" s="6">
        <v>44087.22</v>
      </c>
      <c r="G12" s="6">
        <v>7.84</v>
      </c>
      <c r="H12" s="4">
        <v>70.12</v>
      </c>
      <c r="I12" s="4">
        <v>74.12</v>
      </c>
      <c r="J12" s="4">
        <v>367681</v>
      </c>
      <c r="K12" s="4">
        <v>5.76</v>
      </c>
      <c r="L12" s="7">
        <v>7.33</v>
      </c>
      <c r="M12" s="7">
        <v>70.099999999999994</v>
      </c>
      <c r="N12" s="1">
        <v>0.36099999999999999</v>
      </c>
    </row>
    <row r="13" spans="1:14" ht="15.75" customHeight="1" x14ac:dyDescent="0.25">
      <c r="A13" s="3" t="s">
        <v>21</v>
      </c>
      <c r="B13" s="3" t="s">
        <v>27</v>
      </c>
      <c r="C13" s="4">
        <v>67.760000000000005</v>
      </c>
      <c r="D13" s="4">
        <v>87.01</v>
      </c>
      <c r="E13" s="6">
        <v>10.28</v>
      </c>
      <c r="F13" s="6">
        <v>27599.16</v>
      </c>
      <c r="G13" s="6">
        <v>7.96</v>
      </c>
      <c r="H13" s="4">
        <v>68.27</v>
      </c>
      <c r="I13" s="4">
        <v>72.209999999999994</v>
      </c>
      <c r="J13" s="4">
        <v>378958</v>
      </c>
      <c r="K13" s="4">
        <v>8.65</v>
      </c>
      <c r="L13" s="7">
        <v>3.89</v>
      </c>
      <c r="M13" s="7">
        <v>68.37</v>
      </c>
      <c r="N13" s="1">
        <v>0.40400000000000003</v>
      </c>
    </row>
    <row r="14" spans="1:14" ht="15.75" customHeight="1" x14ac:dyDescent="0.25">
      <c r="A14" s="3" t="s">
        <v>21</v>
      </c>
      <c r="B14" s="3" t="s">
        <v>28</v>
      </c>
      <c r="C14" s="4">
        <v>72.05</v>
      </c>
      <c r="D14" s="4">
        <v>87.25</v>
      </c>
      <c r="E14" s="6">
        <v>7.42</v>
      </c>
      <c r="F14" s="6">
        <v>25111.71</v>
      </c>
      <c r="G14" s="5">
        <v>8.09</v>
      </c>
      <c r="H14" s="4">
        <v>70.61</v>
      </c>
      <c r="I14" s="4">
        <v>74.63</v>
      </c>
      <c r="J14" s="4">
        <v>442108</v>
      </c>
      <c r="K14" s="4">
        <v>6.1</v>
      </c>
      <c r="L14" s="7">
        <v>3.52</v>
      </c>
      <c r="M14" s="7">
        <v>66.260000000000005</v>
      </c>
      <c r="N14" s="1">
        <v>0.34100000000000003</v>
      </c>
    </row>
    <row r="15" spans="1:14" ht="15.75" customHeight="1" x14ac:dyDescent="0.25">
      <c r="A15" s="3" t="s">
        <v>21</v>
      </c>
      <c r="B15" s="3" t="s">
        <v>29</v>
      </c>
      <c r="C15" s="4">
        <v>70.72</v>
      </c>
      <c r="D15" s="4">
        <v>87.31</v>
      </c>
      <c r="E15" s="6">
        <v>12.12</v>
      </c>
      <c r="F15" s="6">
        <v>19418.73</v>
      </c>
      <c r="G15" s="6">
        <v>7.89</v>
      </c>
      <c r="H15" s="4">
        <v>72.52</v>
      </c>
      <c r="I15" s="4">
        <v>76.22</v>
      </c>
      <c r="J15" s="4">
        <v>402767</v>
      </c>
      <c r="K15" s="4">
        <v>6.43</v>
      </c>
      <c r="L15" s="7">
        <v>9.49</v>
      </c>
      <c r="M15" s="7">
        <v>61.95</v>
      </c>
      <c r="N15" s="1">
        <v>0.35099999999999998</v>
      </c>
    </row>
    <row r="16" spans="1:14" ht="15.75" customHeight="1" x14ac:dyDescent="0.25">
      <c r="A16" s="3" t="s">
        <v>21</v>
      </c>
      <c r="B16" s="3" t="s">
        <v>30</v>
      </c>
      <c r="C16" s="4">
        <v>70.95</v>
      </c>
      <c r="D16" s="4">
        <v>84.28</v>
      </c>
      <c r="E16" s="6">
        <v>11.2</v>
      </c>
      <c r="F16" s="6">
        <v>37246.57</v>
      </c>
      <c r="G16" s="6">
        <v>7.64</v>
      </c>
      <c r="H16" s="4">
        <v>70.790000000000006</v>
      </c>
      <c r="I16" s="4">
        <v>74.83</v>
      </c>
      <c r="J16" s="4">
        <v>451853</v>
      </c>
      <c r="K16" s="4">
        <v>7.28</v>
      </c>
      <c r="L16" s="7">
        <v>7.65</v>
      </c>
      <c r="M16" s="7">
        <v>66.16</v>
      </c>
      <c r="N16" s="1">
        <v>0.36099999999999999</v>
      </c>
    </row>
    <row r="17" spans="1:14" ht="15.75" customHeight="1" x14ac:dyDescent="0.25">
      <c r="A17" s="3" t="s">
        <v>21</v>
      </c>
      <c r="B17" s="3" t="s">
        <v>31</v>
      </c>
      <c r="C17" s="4">
        <v>69.13</v>
      </c>
      <c r="D17" s="4">
        <v>87.06</v>
      </c>
      <c r="E17" s="6">
        <v>11.21</v>
      </c>
      <c r="F17" s="6">
        <v>25793.24</v>
      </c>
      <c r="G17" s="6">
        <v>7.52</v>
      </c>
      <c r="H17" s="4">
        <v>69.12</v>
      </c>
      <c r="I17" s="4">
        <v>73.08</v>
      </c>
      <c r="J17" s="4">
        <v>520713</v>
      </c>
      <c r="K17" s="4">
        <v>7.9</v>
      </c>
      <c r="L17" s="7">
        <v>4.12</v>
      </c>
      <c r="M17" s="7">
        <v>68.5</v>
      </c>
      <c r="N17" s="1">
        <v>0.34200000000000003</v>
      </c>
    </row>
    <row r="18" spans="1:14" ht="15.75" customHeight="1" x14ac:dyDescent="0.25">
      <c r="A18" s="3" t="s">
        <v>21</v>
      </c>
      <c r="B18" s="3" t="s">
        <v>32</v>
      </c>
      <c r="C18" s="4">
        <v>73.180000000000007</v>
      </c>
      <c r="D18" s="4">
        <v>95.41</v>
      </c>
      <c r="E18" s="6">
        <v>9.36</v>
      </c>
      <c r="F18" s="6">
        <v>26876.86</v>
      </c>
      <c r="G18" s="6">
        <v>8.73</v>
      </c>
      <c r="H18" s="4">
        <v>71.13</v>
      </c>
      <c r="I18" s="4">
        <v>75.349999999999994</v>
      </c>
      <c r="J18" s="4">
        <v>396573</v>
      </c>
      <c r="K18" s="4">
        <v>5.55</v>
      </c>
      <c r="L18" s="7">
        <v>6.94</v>
      </c>
      <c r="M18" s="7">
        <v>67.760000000000005</v>
      </c>
      <c r="N18" s="1">
        <v>0.36599999999999999</v>
      </c>
    </row>
    <row r="19" spans="1:14" ht="15.75" customHeight="1" x14ac:dyDescent="0.25">
      <c r="A19" s="3" t="s">
        <v>21</v>
      </c>
      <c r="B19" s="3" t="s">
        <v>33</v>
      </c>
      <c r="C19" s="4">
        <v>69.25</v>
      </c>
      <c r="D19" s="4">
        <v>88.81</v>
      </c>
      <c r="E19" s="6">
        <v>12.13</v>
      </c>
      <c r="F19" s="6">
        <v>67237.69</v>
      </c>
      <c r="G19" s="6">
        <v>6.94</v>
      </c>
      <c r="H19" s="4">
        <v>70.5</v>
      </c>
      <c r="I19" s="4">
        <v>74.52</v>
      </c>
      <c r="J19" s="4">
        <v>532545</v>
      </c>
      <c r="K19" s="4">
        <v>5.4</v>
      </c>
      <c r="L19" s="7">
        <v>6.46</v>
      </c>
      <c r="M19" s="7">
        <v>63.88</v>
      </c>
      <c r="N19" s="1">
        <v>0.34399999999999997</v>
      </c>
    </row>
    <row r="20" spans="1:14" ht="15.75" customHeight="1" x14ac:dyDescent="0.25">
      <c r="A20" s="3" t="s">
        <v>21</v>
      </c>
      <c r="B20" s="3" t="s">
        <v>34</v>
      </c>
      <c r="C20" s="4">
        <v>70.7</v>
      </c>
      <c r="D20" s="4">
        <v>91.29</v>
      </c>
      <c r="E20" s="6">
        <v>9.52</v>
      </c>
      <c r="F20" s="6">
        <v>31604.98</v>
      </c>
      <c r="G20" s="6">
        <v>7.45</v>
      </c>
      <c r="H20" s="4">
        <v>71.16</v>
      </c>
      <c r="I20" s="4">
        <v>75.430000000000007</v>
      </c>
      <c r="J20" s="4">
        <v>404320</v>
      </c>
      <c r="K20" s="4">
        <v>6.23</v>
      </c>
      <c r="L20" s="7">
        <v>7.65</v>
      </c>
      <c r="M20" s="7">
        <v>70.03</v>
      </c>
      <c r="N20" s="1">
        <v>0.33100000000000002</v>
      </c>
    </row>
    <row r="21" spans="1:14" ht="15.75" customHeight="1" x14ac:dyDescent="0.25">
      <c r="A21" s="3" t="s">
        <v>21</v>
      </c>
      <c r="B21" s="3" t="s">
        <v>35</v>
      </c>
      <c r="C21" s="4">
        <v>72.09</v>
      </c>
      <c r="D21" s="4">
        <v>87.08</v>
      </c>
      <c r="E21" s="6">
        <v>8.4600000000000009</v>
      </c>
      <c r="F21" s="6">
        <v>51740.5</v>
      </c>
      <c r="G21" s="6">
        <v>8.1300000000000008</v>
      </c>
      <c r="H21" s="4">
        <v>69.790000000000006</v>
      </c>
      <c r="I21" s="4">
        <v>73.78</v>
      </c>
      <c r="J21" s="4">
        <v>434187</v>
      </c>
      <c r="K21" s="4">
        <v>5.07</v>
      </c>
      <c r="L21" s="7">
        <v>7.72</v>
      </c>
      <c r="M21" s="7">
        <v>66.37</v>
      </c>
      <c r="N21" s="1">
        <v>0.372</v>
      </c>
    </row>
    <row r="22" spans="1:14" ht="15.75" customHeight="1" x14ac:dyDescent="0.25">
      <c r="A22" s="3" t="s">
        <v>21</v>
      </c>
      <c r="B22" s="3" t="s">
        <v>36</v>
      </c>
      <c r="C22" s="4">
        <v>72.349999999999994</v>
      </c>
      <c r="D22" s="4">
        <v>91.07</v>
      </c>
      <c r="E22" s="6">
        <v>7.87</v>
      </c>
      <c r="F22" s="6">
        <v>187051.7</v>
      </c>
      <c r="G22" s="5">
        <v>8.0399999999999991</v>
      </c>
      <c r="H22" s="4">
        <v>70.930000000000007</v>
      </c>
      <c r="I22" s="4">
        <v>74.97</v>
      </c>
      <c r="J22" s="4">
        <v>555889</v>
      </c>
      <c r="K22" s="4">
        <v>5.93</v>
      </c>
      <c r="L22" s="7">
        <v>8.9499999999999993</v>
      </c>
      <c r="M22" s="7">
        <v>63.4</v>
      </c>
      <c r="N22" s="1">
        <v>0.38900000000000001</v>
      </c>
    </row>
    <row r="23" spans="1:14" ht="15.75" customHeight="1" x14ac:dyDescent="0.25">
      <c r="A23" s="3" t="s">
        <v>21</v>
      </c>
      <c r="B23" s="3" t="s">
        <v>37</v>
      </c>
      <c r="C23" s="4">
        <v>75.760000000000005</v>
      </c>
      <c r="D23" s="4">
        <v>89.53</v>
      </c>
      <c r="E23" s="6">
        <v>4.93</v>
      </c>
      <c r="F23" s="6">
        <v>279224.90000000002</v>
      </c>
      <c r="G23" s="6">
        <v>9.57</v>
      </c>
      <c r="H23" s="4">
        <v>72.53</v>
      </c>
      <c r="I23" s="4">
        <v>76.23</v>
      </c>
      <c r="J23" s="4">
        <v>632811</v>
      </c>
      <c r="K23" s="4">
        <v>4.3600000000000003</v>
      </c>
      <c r="L23" s="7">
        <v>8.8699999999999992</v>
      </c>
      <c r="M23" s="7">
        <v>65</v>
      </c>
      <c r="N23" s="1">
        <v>0.39700000000000002</v>
      </c>
    </row>
    <row r="24" spans="1:14" ht="15.75" customHeight="1" x14ac:dyDescent="0.25">
      <c r="A24" s="3" t="s">
        <v>21</v>
      </c>
      <c r="B24" s="3" t="s">
        <v>38</v>
      </c>
      <c r="C24" s="4">
        <v>69.61</v>
      </c>
      <c r="D24" s="4">
        <v>80.37</v>
      </c>
      <c r="E24" s="6">
        <v>10.52</v>
      </c>
      <c r="F24" s="6">
        <v>35062.19</v>
      </c>
      <c r="G24" s="6">
        <v>8.23</v>
      </c>
      <c r="H24" s="4">
        <v>71.069999999999993</v>
      </c>
      <c r="I24" s="4">
        <v>75.23</v>
      </c>
      <c r="J24" s="4">
        <v>426355</v>
      </c>
      <c r="K24" s="4">
        <v>7.48</v>
      </c>
      <c r="L24" s="7">
        <v>8.11</v>
      </c>
      <c r="M24" s="7">
        <v>67.010000000000005</v>
      </c>
      <c r="N24" s="1">
        <v>0.374</v>
      </c>
    </row>
    <row r="25" spans="1:14" ht="15.75" customHeight="1" x14ac:dyDescent="0.25">
      <c r="A25" s="3" t="s">
        <v>21</v>
      </c>
      <c r="B25" s="3" t="s">
        <v>39</v>
      </c>
      <c r="C25" s="4">
        <v>69.38</v>
      </c>
      <c r="D25" s="4">
        <v>90.04</v>
      </c>
      <c r="E25" s="6">
        <v>8.98</v>
      </c>
      <c r="F25" s="6">
        <v>8869.86</v>
      </c>
      <c r="G25" s="5">
        <v>8.0399999999999991</v>
      </c>
      <c r="H25" s="4">
        <v>70.22</v>
      </c>
      <c r="I25" s="4">
        <v>74.22</v>
      </c>
      <c r="J25" s="4">
        <v>447242</v>
      </c>
      <c r="K25" s="4">
        <v>6.04</v>
      </c>
      <c r="L25" s="7">
        <v>1.52</v>
      </c>
      <c r="M25" s="7">
        <v>80.150000000000006</v>
      </c>
      <c r="N25" s="1">
        <v>0.32300000000000001</v>
      </c>
    </row>
    <row r="26" spans="1:14" ht="15.75" customHeight="1" x14ac:dyDescent="0.25">
      <c r="A26" s="3" t="s">
        <v>21</v>
      </c>
      <c r="B26" s="3" t="s">
        <v>40</v>
      </c>
      <c r="C26" s="4">
        <v>77.849999999999994</v>
      </c>
      <c r="D26" s="4">
        <v>91.11</v>
      </c>
      <c r="E26" s="6">
        <v>6.67</v>
      </c>
      <c r="F26" s="6">
        <v>37055.360000000001</v>
      </c>
      <c r="G26" s="6">
        <v>10.64</v>
      </c>
      <c r="H26" s="4">
        <v>72.69</v>
      </c>
      <c r="I26" s="4">
        <v>76.37</v>
      </c>
      <c r="J26" s="4">
        <v>661384</v>
      </c>
      <c r="K26" s="4">
        <v>4.8600000000000003</v>
      </c>
      <c r="L26" s="7">
        <v>9.39</v>
      </c>
      <c r="M26" s="7">
        <v>64.81</v>
      </c>
      <c r="N26" s="1">
        <v>0.46400000000000002</v>
      </c>
    </row>
    <row r="27" spans="1:14" x14ac:dyDescent="0.25">
      <c r="A27" s="3" t="s">
        <v>21</v>
      </c>
      <c r="B27" s="3" t="s">
        <v>41</v>
      </c>
      <c r="C27" s="4">
        <v>76.319999999999993</v>
      </c>
      <c r="D27" s="4">
        <v>92.35</v>
      </c>
      <c r="E27" s="5">
        <v>7.5</v>
      </c>
      <c r="F27" s="6">
        <v>9801.8799999999992</v>
      </c>
      <c r="G27" s="6">
        <v>10.37</v>
      </c>
      <c r="H27" s="4">
        <v>71.08</v>
      </c>
      <c r="I27" s="4">
        <v>75.25</v>
      </c>
      <c r="J27" s="4">
        <v>644276</v>
      </c>
      <c r="K27" s="4">
        <v>5.23</v>
      </c>
      <c r="L27" s="7">
        <v>8.5299999999999994</v>
      </c>
      <c r="M27" s="7">
        <v>62.57</v>
      </c>
      <c r="N27" s="1">
        <v>0.45800000000000002</v>
      </c>
    </row>
    <row r="28" spans="1:14" x14ac:dyDescent="0.25">
      <c r="A28" s="3" t="s">
        <v>21</v>
      </c>
      <c r="B28" s="3" t="s">
        <v>42</v>
      </c>
      <c r="C28" s="4">
        <v>83.04</v>
      </c>
      <c r="D28" s="4">
        <v>94.71</v>
      </c>
      <c r="E28" s="6">
        <v>3.96</v>
      </c>
      <c r="F28" s="6">
        <v>221969.1</v>
      </c>
      <c r="G28" s="5">
        <v>11.06</v>
      </c>
      <c r="H28" s="4">
        <v>73.3</v>
      </c>
      <c r="I28" s="4">
        <v>76.930000000000007</v>
      </c>
      <c r="J28" s="4">
        <v>591124</v>
      </c>
      <c r="K28" s="4">
        <v>3.64</v>
      </c>
      <c r="L28" s="7">
        <v>8.83</v>
      </c>
      <c r="M28" s="7">
        <v>66.97</v>
      </c>
      <c r="N28" s="1">
        <v>0.45900000000000002</v>
      </c>
    </row>
    <row r="29" spans="1:14" x14ac:dyDescent="0.25">
      <c r="A29" s="3" t="s">
        <v>21</v>
      </c>
      <c r="B29" s="3" t="s">
        <v>43</v>
      </c>
      <c r="C29" s="4">
        <v>76.459999999999994</v>
      </c>
      <c r="D29" s="4">
        <v>95.55</v>
      </c>
      <c r="E29" s="6">
        <v>9.16</v>
      </c>
      <c r="F29" s="6">
        <v>18934.400000000001</v>
      </c>
      <c r="G29" s="6">
        <v>10.37</v>
      </c>
      <c r="H29" s="4">
        <v>71.06</v>
      </c>
      <c r="I29" s="4">
        <v>75.2</v>
      </c>
      <c r="J29" s="4">
        <v>520579</v>
      </c>
      <c r="K29" s="4">
        <v>6.85</v>
      </c>
      <c r="L29" s="7">
        <v>7.66</v>
      </c>
      <c r="M29" s="7">
        <v>68.709999999999994</v>
      </c>
      <c r="N29" s="1">
        <v>0.46800000000000003</v>
      </c>
    </row>
    <row r="30" spans="1:14" x14ac:dyDescent="0.25">
      <c r="A30" s="3" t="s">
        <v>21</v>
      </c>
      <c r="B30" s="3" t="s">
        <v>44</v>
      </c>
      <c r="C30" s="4">
        <v>83.03</v>
      </c>
      <c r="D30" s="4">
        <v>93.52</v>
      </c>
      <c r="E30" s="5">
        <v>4.0999999999999996</v>
      </c>
      <c r="F30" s="6">
        <v>77241.789999999994</v>
      </c>
      <c r="G30" s="6">
        <v>11.66</v>
      </c>
      <c r="H30" s="4">
        <v>74.099999999999994</v>
      </c>
      <c r="I30" s="4">
        <v>77.45</v>
      </c>
      <c r="J30" s="4">
        <v>795965</v>
      </c>
      <c r="K30" s="4">
        <v>2.27</v>
      </c>
      <c r="L30" s="7">
        <v>7.9</v>
      </c>
      <c r="M30" s="7">
        <v>64.650000000000006</v>
      </c>
      <c r="N30" s="1">
        <v>0.41399999999999998</v>
      </c>
    </row>
    <row r="31" spans="1:14" x14ac:dyDescent="0.25">
      <c r="A31" s="3" t="s">
        <v>21</v>
      </c>
      <c r="B31" s="3" t="s">
        <v>45</v>
      </c>
      <c r="C31" s="4">
        <v>82.38</v>
      </c>
      <c r="D31" s="4">
        <v>93.44</v>
      </c>
      <c r="E31" s="6">
        <v>2.38</v>
      </c>
      <c r="F31" s="6">
        <v>55221.82</v>
      </c>
      <c r="G31" s="6">
        <v>11.58</v>
      </c>
      <c r="H31" s="4">
        <v>73.489999999999995</v>
      </c>
      <c r="I31" s="4">
        <v>77.11</v>
      </c>
      <c r="J31" s="4">
        <v>804984</v>
      </c>
      <c r="K31" s="4">
        <v>1.99</v>
      </c>
      <c r="L31" s="7">
        <v>6.97</v>
      </c>
      <c r="M31" s="7">
        <v>62.76</v>
      </c>
      <c r="N31" s="1">
        <v>0.40200000000000002</v>
      </c>
    </row>
    <row r="32" spans="1:14" x14ac:dyDescent="0.25">
      <c r="A32" s="3" t="s">
        <v>21</v>
      </c>
      <c r="B32" s="3" t="s">
        <v>46</v>
      </c>
      <c r="C32" s="4">
        <v>79.459999999999994</v>
      </c>
      <c r="D32" s="4">
        <v>92</v>
      </c>
      <c r="E32" s="6">
        <v>4.66</v>
      </c>
      <c r="F32" s="6">
        <v>25931.98</v>
      </c>
      <c r="G32" s="6">
        <v>11.39</v>
      </c>
      <c r="H32" s="4">
        <v>73.05</v>
      </c>
      <c r="I32" s="4">
        <v>76.7</v>
      </c>
      <c r="J32" s="4">
        <v>590197</v>
      </c>
      <c r="K32" s="4">
        <v>2.98</v>
      </c>
      <c r="L32" s="7">
        <v>10.52</v>
      </c>
      <c r="M32" s="7">
        <v>68.430000000000007</v>
      </c>
      <c r="N32" s="1">
        <v>0.39400000000000002</v>
      </c>
    </row>
    <row r="33" spans="1:14" x14ac:dyDescent="0.25">
      <c r="A33" s="3" t="s">
        <v>21</v>
      </c>
      <c r="B33" s="3" t="s">
        <v>47</v>
      </c>
      <c r="C33" s="4">
        <v>74.47</v>
      </c>
      <c r="D33" s="4">
        <v>92.13</v>
      </c>
      <c r="E33" s="6">
        <v>11.53</v>
      </c>
      <c r="F33" s="6">
        <v>17781.93</v>
      </c>
      <c r="G33" s="6">
        <v>9.5399999999999991</v>
      </c>
      <c r="H33" s="4">
        <v>70.95</v>
      </c>
      <c r="I33" s="4">
        <v>74.989999999999995</v>
      </c>
      <c r="J33" s="4">
        <v>537497</v>
      </c>
      <c r="K33" s="4">
        <v>5.14</v>
      </c>
      <c r="L33" s="7">
        <v>6.55</v>
      </c>
      <c r="M33" s="7">
        <v>65.44</v>
      </c>
      <c r="N33" s="1">
        <v>0.42799999999999999</v>
      </c>
    </row>
    <row r="34" spans="1:14" x14ac:dyDescent="0.25">
      <c r="A34" s="3" t="s">
        <v>21</v>
      </c>
      <c r="B34" s="3" t="s">
        <v>48</v>
      </c>
      <c r="C34" s="4">
        <v>73.08</v>
      </c>
      <c r="D34" s="4">
        <v>87.85</v>
      </c>
      <c r="E34" s="6">
        <v>6.14</v>
      </c>
      <c r="F34" s="6">
        <v>3682.3</v>
      </c>
      <c r="G34" s="6">
        <v>8.7899999999999991</v>
      </c>
      <c r="H34" s="4">
        <v>69.849999999999994</v>
      </c>
      <c r="I34" s="4">
        <v>73.84</v>
      </c>
      <c r="J34" s="4">
        <v>408710</v>
      </c>
      <c r="K34" s="4">
        <v>5.55</v>
      </c>
      <c r="L34" s="7">
        <v>5.43</v>
      </c>
      <c r="M34" s="7">
        <v>67.44</v>
      </c>
      <c r="N34" s="1">
        <v>0.33700000000000002</v>
      </c>
    </row>
    <row r="35" spans="1:14" x14ac:dyDescent="0.25">
      <c r="A35" s="3" t="s">
        <v>49</v>
      </c>
      <c r="B35" s="3" t="s">
        <v>50</v>
      </c>
      <c r="C35" s="4">
        <v>66.42</v>
      </c>
      <c r="D35" s="4">
        <v>87.09</v>
      </c>
      <c r="E35" s="6">
        <v>9.27</v>
      </c>
      <c r="F35" s="6">
        <v>21340.73</v>
      </c>
      <c r="G35" s="6">
        <v>7.15</v>
      </c>
      <c r="H35" s="4">
        <v>63.7</v>
      </c>
      <c r="I35" s="4">
        <v>67.56</v>
      </c>
      <c r="J35" s="4">
        <v>455297</v>
      </c>
      <c r="K35" s="4">
        <v>4.6900000000000004</v>
      </c>
      <c r="L35" s="7">
        <v>9.0500000000000007</v>
      </c>
      <c r="M35" s="7">
        <v>60.33</v>
      </c>
      <c r="N35" s="1">
        <v>0.24299999999999999</v>
      </c>
    </row>
    <row r="36" spans="1:14" x14ac:dyDescent="0.25">
      <c r="A36" s="3" t="s">
        <v>49</v>
      </c>
      <c r="B36" s="3" t="s">
        <v>51</v>
      </c>
      <c r="C36" s="4">
        <v>65.209999999999994</v>
      </c>
      <c r="D36" s="4">
        <v>80.75</v>
      </c>
      <c r="E36" s="6">
        <v>8.68</v>
      </c>
      <c r="F36" s="6">
        <v>22706.47</v>
      </c>
      <c r="G36" s="6">
        <v>6.6</v>
      </c>
      <c r="H36" s="4">
        <v>66.19</v>
      </c>
      <c r="I36" s="4">
        <v>70.17</v>
      </c>
      <c r="J36" s="4">
        <v>419066</v>
      </c>
      <c r="K36" s="4">
        <v>4.82</v>
      </c>
      <c r="L36" s="7">
        <v>7.57</v>
      </c>
      <c r="M36" s="7">
        <v>67.900000000000006</v>
      </c>
      <c r="N36" s="1">
        <v>0.27100000000000002</v>
      </c>
    </row>
    <row r="37" spans="1:14" x14ac:dyDescent="0.25">
      <c r="A37" s="3" t="s">
        <v>49</v>
      </c>
      <c r="B37" s="3" t="s">
        <v>52</v>
      </c>
      <c r="C37" s="4">
        <v>73.430000000000007</v>
      </c>
      <c r="D37" s="4">
        <v>91.67</v>
      </c>
      <c r="E37" s="6">
        <v>6.93</v>
      </c>
      <c r="F37" s="6">
        <v>108569.8</v>
      </c>
      <c r="G37" s="6">
        <v>8.93</v>
      </c>
      <c r="H37" s="4">
        <v>68.73</v>
      </c>
      <c r="I37" s="4">
        <v>72.67</v>
      </c>
      <c r="J37" s="4">
        <v>604362</v>
      </c>
      <c r="K37" s="4">
        <v>2.59</v>
      </c>
      <c r="L37" s="7">
        <v>6.94</v>
      </c>
      <c r="M37" s="7">
        <v>66.87</v>
      </c>
      <c r="N37" s="1">
        <v>0.28599999999999998</v>
      </c>
    </row>
    <row r="38" spans="1:14" x14ac:dyDescent="0.25">
      <c r="A38" s="3" t="s">
        <v>49</v>
      </c>
      <c r="B38" s="3" t="s">
        <v>53</v>
      </c>
      <c r="C38" s="4">
        <v>68.39</v>
      </c>
      <c r="D38" s="4">
        <v>92.49</v>
      </c>
      <c r="E38" s="6">
        <v>4.8499999999999996</v>
      </c>
      <c r="F38" s="6">
        <v>60369.96</v>
      </c>
      <c r="G38" s="6">
        <v>7.79</v>
      </c>
      <c r="H38" s="4">
        <v>63.72</v>
      </c>
      <c r="I38" s="4">
        <v>67.58</v>
      </c>
      <c r="J38" s="4">
        <v>425751</v>
      </c>
      <c r="K38" s="4">
        <v>3.23</v>
      </c>
      <c r="L38" s="7">
        <v>9.94</v>
      </c>
      <c r="M38" s="7">
        <v>63.22</v>
      </c>
      <c r="N38" s="1">
        <v>0.27400000000000002</v>
      </c>
    </row>
    <row r="39" spans="1:14" x14ac:dyDescent="0.25">
      <c r="A39" s="3" t="s">
        <v>49</v>
      </c>
      <c r="B39" s="3" t="s">
        <v>54</v>
      </c>
      <c r="C39" s="4">
        <v>79.459999999999994</v>
      </c>
      <c r="D39" s="4">
        <v>94.89</v>
      </c>
      <c r="E39" s="6">
        <v>5.89</v>
      </c>
      <c r="F39" s="6">
        <v>119059.9</v>
      </c>
      <c r="G39" s="6">
        <v>10.91</v>
      </c>
      <c r="H39" s="4">
        <v>70.28</v>
      </c>
      <c r="I39" s="4">
        <v>74.290000000000006</v>
      </c>
      <c r="J39" s="4">
        <v>746468</v>
      </c>
      <c r="K39" s="4">
        <v>1.58</v>
      </c>
      <c r="L39" s="7">
        <v>6.76</v>
      </c>
      <c r="M39" s="7">
        <v>63.39</v>
      </c>
      <c r="N39" s="1">
        <v>0.379</v>
      </c>
    </row>
    <row r="40" spans="1:14" x14ac:dyDescent="0.25">
      <c r="A40" s="3" t="s">
        <v>49</v>
      </c>
      <c r="B40" s="3" t="s">
        <v>55</v>
      </c>
      <c r="C40" s="4">
        <v>74.540000000000006</v>
      </c>
      <c r="D40" s="4">
        <v>88.05</v>
      </c>
      <c r="E40" s="6">
        <v>3.98</v>
      </c>
      <c r="F40" s="6">
        <v>84536.65</v>
      </c>
      <c r="G40" s="6">
        <v>10.38</v>
      </c>
      <c r="H40" s="4">
        <v>65.459999999999994</v>
      </c>
      <c r="I40" s="4">
        <v>69.42</v>
      </c>
      <c r="J40" s="4">
        <v>632703</v>
      </c>
      <c r="K40" s="4">
        <v>2.19</v>
      </c>
      <c r="L40" s="7">
        <v>7.25</v>
      </c>
      <c r="M40" s="7">
        <v>62.7</v>
      </c>
      <c r="N40" s="1">
        <v>0.36199999999999999</v>
      </c>
    </row>
    <row r="41" spans="1:14" x14ac:dyDescent="0.25">
      <c r="A41" s="3" t="s">
        <v>49</v>
      </c>
      <c r="B41" s="3" t="s">
        <v>56</v>
      </c>
      <c r="C41" s="4">
        <v>73.48</v>
      </c>
      <c r="D41" s="4">
        <v>92.49</v>
      </c>
      <c r="E41" s="6">
        <v>6.2</v>
      </c>
      <c r="F41" s="6">
        <v>25655.25</v>
      </c>
      <c r="G41" s="6">
        <v>8.91</v>
      </c>
      <c r="H41" s="4">
        <v>67.05</v>
      </c>
      <c r="I41" s="4">
        <v>71.02</v>
      </c>
      <c r="J41" s="4">
        <v>511575</v>
      </c>
      <c r="K41" s="4">
        <v>2.2999999999999998</v>
      </c>
      <c r="L41" s="7">
        <v>7.45</v>
      </c>
      <c r="M41" s="7">
        <v>68.44</v>
      </c>
      <c r="N41" s="1">
        <v>0.30599999999999999</v>
      </c>
    </row>
    <row r="42" spans="1:14" x14ac:dyDescent="0.25">
      <c r="A42" s="3" t="s">
        <v>49</v>
      </c>
      <c r="B42" s="3" t="s">
        <v>57</v>
      </c>
      <c r="C42" s="4">
        <v>82.28</v>
      </c>
      <c r="D42" s="4">
        <v>94.23</v>
      </c>
      <c r="E42" s="6">
        <v>2.57</v>
      </c>
      <c r="F42" s="6">
        <v>69561.56</v>
      </c>
      <c r="G42" s="6">
        <v>11.85</v>
      </c>
      <c r="H42" s="4">
        <v>71.069999999999993</v>
      </c>
      <c r="I42" s="4">
        <v>75.239999999999995</v>
      </c>
      <c r="J42" s="4">
        <v>782543</v>
      </c>
      <c r="K42" s="4">
        <v>1.92</v>
      </c>
      <c r="L42" s="7">
        <v>5.81</v>
      </c>
      <c r="M42" s="7">
        <v>60.5</v>
      </c>
      <c r="N42" s="1">
        <v>0.35899999999999999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57"/>
  <sheetViews>
    <sheetView topLeftCell="G2" zoomScaleNormal="100" workbookViewId="0">
      <selection activeCell="K2" sqref="K2:K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74.17</v>
      </c>
      <c r="D2" s="4">
        <v>93.62</v>
      </c>
      <c r="E2" s="5">
        <v>13.03</v>
      </c>
      <c r="F2" s="5">
        <v>3268.5</v>
      </c>
      <c r="G2" s="6">
        <v>9.26</v>
      </c>
      <c r="H2" s="4">
        <v>67.849999999999994</v>
      </c>
      <c r="I2" s="4">
        <v>71.8</v>
      </c>
      <c r="J2" s="4">
        <v>775909</v>
      </c>
      <c r="K2" s="4">
        <v>4.3899999999999997</v>
      </c>
      <c r="L2" s="7">
        <v>7.93</v>
      </c>
      <c r="M2" s="8">
        <v>8.11</v>
      </c>
      <c r="N2" s="1">
        <v>0.42699999999999999</v>
      </c>
    </row>
    <row r="3" spans="1:14" ht="15.75" customHeight="1" x14ac:dyDescent="0.25">
      <c r="A3" s="3" t="s">
        <v>14</v>
      </c>
      <c r="B3" s="3" t="s">
        <v>16</v>
      </c>
      <c r="C3" s="4">
        <v>86.94</v>
      </c>
      <c r="D3" s="4">
        <v>97.3</v>
      </c>
      <c r="E3" s="5">
        <v>3.03</v>
      </c>
      <c r="F3" s="6">
        <v>500422.7</v>
      </c>
      <c r="G3" s="6">
        <v>11.95</v>
      </c>
      <c r="H3" s="4">
        <v>73.38</v>
      </c>
      <c r="I3" s="4">
        <v>76.86</v>
      </c>
      <c r="J3" s="4">
        <v>928278</v>
      </c>
      <c r="K3" s="4">
        <v>2.4500000000000002</v>
      </c>
      <c r="L3" s="7">
        <v>5.22</v>
      </c>
      <c r="M3" s="7">
        <v>5.37</v>
      </c>
      <c r="N3" s="1">
        <v>0.42699999999999999</v>
      </c>
    </row>
    <row r="4" spans="1:14" ht="15.75" customHeight="1" x14ac:dyDescent="0.25">
      <c r="A4" s="3" t="s">
        <v>14</v>
      </c>
      <c r="B4" s="3" t="s">
        <v>17</v>
      </c>
      <c r="C4" s="4">
        <v>84.65</v>
      </c>
      <c r="D4" s="4">
        <v>95.9</v>
      </c>
      <c r="E4" s="5">
        <v>4.09</v>
      </c>
      <c r="F4" s="6">
        <v>362068.1</v>
      </c>
      <c r="G4" s="6">
        <v>11.99</v>
      </c>
      <c r="H4" s="4">
        <v>73.73</v>
      </c>
      <c r="I4" s="4">
        <v>77.11</v>
      </c>
      <c r="J4" s="4">
        <v>697472</v>
      </c>
      <c r="K4" s="4">
        <v>4.38</v>
      </c>
      <c r="L4" s="7">
        <v>6.95</v>
      </c>
      <c r="M4" s="7">
        <v>7.24</v>
      </c>
      <c r="N4" s="1">
        <v>0.42699999999999999</v>
      </c>
    </row>
    <row r="5" spans="1:14" ht="15.75" customHeight="1" x14ac:dyDescent="0.25">
      <c r="A5" s="3" t="s">
        <v>14</v>
      </c>
      <c r="B5" s="3" t="s">
        <v>18</v>
      </c>
      <c r="C5" s="4">
        <v>83.01</v>
      </c>
      <c r="D5" s="4">
        <v>96.24</v>
      </c>
      <c r="E5" s="6">
        <v>4.63</v>
      </c>
      <c r="F5" s="6">
        <v>532606.9</v>
      </c>
      <c r="G5" s="6">
        <v>11.61</v>
      </c>
      <c r="H5" s="4">
        <v>73.650000000000006</v>
      </c>
      <c r="I5" s="4">
        <v>76.94</v>
      </c>
      <c r="J5" s="4">
        <v>818722</v>
      </c>
      <c r="K5" s="4">
        <v>3.63</v>
      </c>
      <c r="L5" s="7">
        <v>6.24</v>
      </c>
      <c r="M5" s="7">
        <v>6.42</v>
      </c>
      <c r="N5" s="1">
        <v>0.42699999999999999</v>
      </c>
    </row>
    <row r="6" spans="1:14" ht="15.75" customHeight="1" x14ac:dyDescent="0.25">
      <c r="A6" s="3" t="s">
        <v>14</v>
      </c>
      <c r="B6" s="3" t="s">
        <v>19</v>
      </c>
      <c r="C6" s="4">
        <v>83.64</v>
      </c>
      <c r="D6" s="4">
        <v>95.66</v>
      </c>
      <c r="E6" s="6">
        <v>3.94</v>
      </c>
      <c r="F6" s="6">
        <v>383113.1</v>
      </c>
      <c r="G6" s="6">
        <v>11.24</v>
      </c>
      <c r="H6" s="4">
        <v>72.55</v>
      </c>
      <c r="I6" s="4">
        <v>76.28</v>
      </c>
      <c r="J6" s="4">
        <v>685071</v>
      </c>
      <c r="K6" s="4">
        <v>3.55</v>
      </c>
      <c r="L6" s="7">
        <v>6.18</v>
      </c>
      <c r="M6" s="7">
        <v>6.39</v>
      </c>
      <c r="N6" s="1">
        <v>0.42699999999999999</v>
      </c>
    </row>
    <row r="7" spans="1:14" ht="15.75" customHeight="1" x14ac:dyDescent="0.25">
      <c r="A7" s="3" t="s">
        <v>14</v>
      </c>
      <c r="B7" s="3" t="s">
        <v>20</v>
      </c>
      <c r="C7" s="4">
        <v>81.39</v>
      </c>
      <c r="D7" s="4">
        <v>94.43</v>
      </c>
      <c r="E7" s="6">
        <v>6.44</v>
      </c>
      <c r="F7" s="6">
        <v>380461.1</v>
      </c>
      <c r="G7" s="6">
        <v>10.85</v>
      </c>
      <c r="H7" s="4">
        <v>71.97</v>
      </c>
      <c r="I7" s="4">
        <v>76.040000000000006</v>
      </c>
      <c r="J7" s="4">
        <v>712835</v>
      </c>
      <c r="K7" s="4">
        <v>3.39</v>
      </c>
      <c r="L7" s="7">
        <v>6.18</v>
      </c>
      <c r="M7" s="8">
        <v>7.05</v>
      </c>
      <c r="N7" s="1">
        <v>0.42699999999999999</v>
      </c>
    </row>
    <row r="8" spans="1:14" ht="15.75" customHeight="1" x14ac:dyDescent="0.25">
      <c r="A8" s="3" t="s">
        <v>21</v>
      </c>
      <c r="B8" s="3" t="s">
        <v>22</v>
      </c>
      <c r="C8" s="4">
        <v>72.39</v>
      </c>
      <c r="D8" s="4">
        <v>90.17</v>
      </c>
      <c r="E8" s="5">
        <v>7.05</v>
      </c>
      <c r="F8" s="6">
        <v>185882.3</v>
      </c>
      <c r="G8" s="6">
        <v>8.39</v>
      </c>
      <c r="H8" s="4">
        <v>70.2</v>
      </c>
      <c r="I8" s="4">
        <v>74.209999999999994</v>
      </c>
      <c r="J8" s="4">
        <v>513512</v>
      </c>
      <c r="K8" s="4">
        <v>5.68</v>
      </c>
      <c r="L8" s="7">
        <v>7.34</v>
      </c>
      <c r="M8" s="7">
        <v>8.4700000000000006</v>
      </c>
      <c r="N8" s="1">
        <v>0.39800000000000002</v>
      </c>
    </row>
    <row r="9" spans="1:14" ht="15.75" customHeight="1" x14ac:dyDescent="0.25">
      <c r="A9" s="3" t="s">
        <v>21</v>
      </c>
      <c r="B9" s="3" t="s">
        <v>23</v>
      </c>
      <c r="C9" s="4">
        <v>68.97</v>
      </c>
      <c r="D9" s="4">
        <v>88.59</v>
      </c>
      <c r="E9" s="6">
        <v>6.87</v>
      </c>
      <c r="F9" s="6">
        <v>55723.92</v>
      </c>
      <c r="G9" s="6">
        <v>7.34</v>
      </c>
      <c r="H9" s="4">
        <v>70.11</v>
      </c>
      <c r="I9" s="4">
        <v>74.11</v>
      </c>
      <c r="J9" s="4">
        <v>416751</v>
      </c>
      <c r="K9" s="4">
        <v>5.82</v>
      </c>
      <c r="L9" s="8">
        <v>7.11</v>
      </c>
      <c r="M9" s="7">
        <v>7.32</v>
      </c>
      <c r="N9" s="1">
        <v>0.34200000000000003</v>
      </c>
    </row>
    <row r="10" spans="1:14" ht="15.75" customHeight="1" x14ac:dyDescent="0.25">
      <c r="A10" s="3" t="s">
        <v>21</v>
      </c>
      <c r="B10" s="3" t="s">
        <v>24</v>
      </c>
      <c r="C10" s="4">
        <v>67.239999999999995</v>
      </c>
      <c r="D10" s="4">
        <v>85.45</v>
      </c>
      <c r="E10" s="6">
        <v>10.14</v>
      </c>
      <c r="F10" s="6">
        <v>38208.18</v>
      </c>
      <c r="G10" s="6">
        <v>7.33</v>
      </c>
      <c r="H10" s="4">
        <v>69.03</v>
      </c>
      <c r="I10" s="4">
        <v>72.98</v>
      </c>
      <c r="J10" s="4">
        <v>466509</v>
      </c>
      <c r="K10" s="4">
        <v>5.37</v>
      </c>
      <c r="L10" s="7">
        <v>5.99</v>
      </c>
      <c r="M10" s="7">
        <v>7.71</v>
      </c>
      <c r="N10" s="1">
        <v>0.33800000000000002</v>
      </c>
    </row>
    <row r="11" spans="1:14" ht="15.75" customHeight="1" x14ac:dyDescent="0.25">
      <c r="A11" s="3" t="s">
        <v>21</v>
      </c>
      <c r="B11" s="3" t="s">
        <v>25</v>
      </c>
      <c r="C11" s="4">
        <v>74.27</v>
      </c>
      <c r="D11" s="4">
        <v>94.23</v>
      </c>
      <c r="E11" s="6">
        <v>6.19</v>
      </c>
      <c r="F11" s="6">
        <v>97509.91</v>
      </c>
      <c r="G11" s="6">
        <v>9.15</v>
      </c>
      <c r="H11" s="4">
        <v>72.73</v>
      </c>
      <c r="I11" s="4">
        <v>76.44</v>
      </c>
      <c r="J11" s="4">
        <v>455636</v>
      </c>
      <c r="K11" s="4">
        <v>5.8</v>
      </c>
      <c r="L11" s="7">
        <v>6.36</v>
      </c>
      <c r="M11" s="7">
        <v>6.52</v>
      </c>
      <c r="N11" s="1">
        <v>0.36399999999999999</v>
      </c>
    </row>
    <row r="12" spans="1:14" ht="15.75" customHeight="1" x14ac:dyDescent="0.25">
      <c r="A12" s="3" t="s">
        <v>21</v>
      </c>
      <c r="B12" s="3" t="s">
        <v>26</v>
      </c>
      <c r="C12" s="4">
        <v>68.790000000000006</v>
      </c>
      <c r="D12" s="4">
        <v>83.5</v>
      </c>
      <c r="E12" s="6">
        <v>9.68</v>
      </c>
      <c r="F12" s="6">
        <v>46270.92</v>
      </c>
      <c r="G12" s="6">
        <v>7.85</v>
      </c>
      <c r="H12" s="4">
        <v>70.319999999999993</v>
      </c>
      <c r="I12" s="4">
        <v>74.33</v>
      </c>
      <c r="J12" s="4">
        <v>393464</v>
      </c>
      <c r="K12" s="4">
        <v>5.0199999999999996</v>
      </c>
      <c r="L12" s="7">
        <v>6.96</v>
      </c>
      <c r="M12" s="7">
        <v>7.33</v>
      </c>
      <c r="N12" s="1">
        <v>0.32400000000000001</v>
      </c>
    </row>
    <row r="13" spans="1:14" ht="15.75" customHeight="1" x14ac:dyDescent="0.25">
      <c r="A13" s="3" t="s">
        <v>21</v>
      </c>
      <c r="B13" s="3" t="s">
        <v>27</v>
      </c>
      <c r="C13" s="4">
        <v>68.36</v>
      </c>
      <c r="D13" s="4">
        <v>87.1</v>
      </c>
      <c r="E13" s="6">
        <v>10.23</v>
      </c>
      <c r="F13" s="6">
        <v>28879.68</v>
      </c>
      <c r="G13" s="6">
        <v>7.97</v>
      </c>
      <c r="H13" s="4">
        <v>68.47</v>
      </c>
      <c r="I13" s="4">
        <v>72.41</v>
      </c>
      <c r="J13" s="4">
        <v>400148</v>
      </c>
      <c r="K13" s="4">
        <v>5.95</v>
      </c>
      <c r="L13" s="7">
        <v>3.74</v>
      </c>
      <c r="M13" s="7">
        <v>3.89</v>
      </c>
      <c r="N13" s="1">
        <v>0.36299999999999999</v>
      </c>
    </row>
    <row r="14" spans="1:14" ht="15.75" customHeight="1" x14ac:dyDescent="0.25">
      <c r="A14" s="3" t="s">
        <v>21</v>
      </c>
      <c r="B14" s="3" t="s">
        <v>28</v>
      </c>
      <c r="C14" s="4">
        <v>72.56</v>
      </c>
      <c r="D14" s="4">
        <v>87.48</v>
      </c>
      <c r="E14" s="6">
        <v>7.39</v>
      </c>
      <c r="F14" s="6">
        <v>26360.94</v>
      </c>
      <c r="G14" s="5">
        <v>8.1</v>
      </c>
      <c r="H14" s="4">
        <v>70.900000000000006</v>
      </c>
      <c r="I14" s="4">
        <v>74.94</v>
      </c>
      <c r="J14" s="4">
        <v>467497</v>
      </c>
      <c r="K14" s="4">
        <v>5.78</v>
      </c>
      <c r="L14" s="7">
        <v>3.37</v>
      </c>
      <c r="M14" s="7">
        <v>3.52</v>
      </c>
      <c r="N14" s="1">
        <v>0.32600000000000001</v>
      </c>
    </row>
    <row r="15" spans="1:14" ht="15.75" customHeight="1" x14ac:dyDescent="0.25">
      <c r="A15" s="3" t="s">
        <v>21</v>
      </c>
      <c r="B15" s="3" t="s">
        <v>29</v>
      </c>
      <c r="C15" s="4">
        <v>71.260000000000005</v>
      </c>
      <c r="D15" s="4">
        <v>87.55</v>
      </c>
      <c r="E15" s="6">
        <v>11.88</v>
      </c>
      <c r="F15" s="6">
        <v>20507.27</v>
      </c>
      <c r="G15" s="5">
        <v>7.9</v>
      </c>
      <c r="H15" s="4">
        <v>72.72</v>
      </c>
      <c r="I15" s="4">
        <v>76.42</v>
      </c>
      <c r="J15" s="4">
        <v>420867</v>
      </c>
      <c r="K15" s="4">
        <v>5.83</v>
      </c>
      <c r="L15" s="7">
        <v>7.78</v>
      </c>
      <c r="M15" s="7">
        <v>9.49</v>
      </c>
      <c r="N15" s="1">
        <v>0.36899999999999999</v>
      </c>
    </row>
    <row r="16" spans="1:14" ht="15.75" customHeight="1" x14ac:dyDescent="0.25">
      <c r="A16" s="3" t="s">
        <v>21</v>
      </c>
      <c r="B16" s="3" t="s">
        <v>30</v>
      </c>
      <c r="C16" s="4">
        <v>71.44</v>
      </c>
      <c r="D16" s="4">
        <v>84.74</v>
      </c>
      <c r="E16" s="6">
        <v>11</v>
      </c>
      <c r="F16" s="6">
        <v>39418.269999999997</v>
      </c>
      <c r="G16" s="6">
        <v>7.65</v>
      </c>
      <c r="H16" s="4">
        <v>71.03</v>
      </c>
      <c r="I16" s="4">
        <v>75.150000000000006</v>
      </c>
      <c r="J16" s="4">
        <v>475046</v>
      </c>
      <c r="K16" s="4">
        <v>5.65</v>
      </c>
      <c r="L16" s="7">
        <v>6.74</v>
      </c>
      <c r="M16" s="7">
        <v>7.65</v>
      </c>
      <c r="N16" s="1">
        <v>0.374</v>
      </c>
    </row>
    <row r="17" spans="1:14" ht="15.75" customHeight="1" x14ac:dyDescent="0.25">
      <c r="A17" s="3" t="s">
        <v>21</v>
      </c>
      <c r="B17" s="3" t="s">
        <v>31</v>
      </c>
      <c r="C17" s="4">
        <v>69.739999999999995</v>
      </c>
      <c r="D17" s="4">
        <v>87.16</v>
      </c>
      <c r="E17" s="6">
        <v>10.82</v>
      </c>
      <c r="F17" s="6">
        <v>27438.93</v>
      </c>
      <c r="G17" s="6">
        <v>7.53</v>
      </c>
      <c r="H17" s="4">
        <v>69.37</v>
      </c>
      <c r="I17" s="4">
        <v>73.34</v>
      </c>
      <c r="J17" s="4">
        <v>547912</v>
      </c>
      <c r="K17" s="4">
        <v>5.95</v>
      </c>
      <c r="L17" s="7">
        <v>4.01</v>
      </c>
      <c r="M17" s="7">
        <v>4.12</v>
      </c>
      <c r="N17" s="1">
        <v>0.35399999999999998</v>
      </c>
    </row>
    <row r="18" spans="1:14" ht="15.75" customHeight="1" x14ac:dyDescent="0.25">
      <c r="A18" s="3" t="s">
        <v>21</v>
      </c>
      <c r="B18" s="3" t="s">
        <v>32</v>
      </c>
      <c r="C18" s="4">
        <v>73.73</v>
      </c>
      <c r="D18" s="4">
        <v>95.55</v>
      </c>
      <c r="E18" s="5">
        <v>9.1</v>
      </c>
      <c r="F18" s="6">
        <v>27965.759999999998</v>
      </c>
      <c r="G18" s="6">
        <v>8.74</v>
      </c>
      <c r="H18" s="4">
        <v>71.290000000000006</v>
      </c>
      <c r="I18" s="4">
        <v>75.7</v>
      </c>
      <c r="J18" s="4">
        <v>422714</v>
      </c>
      <c r="K18" s="4">
        <v>5.43</v>
      </c>
      <c r="L18" s="7">
        <v>6.16</v>
      </c>
      <c r="M18" s="7">
        <v>6.94</v>
      </c>
      <c r="N18" s="1">
        <v>0.33700000000000002</v>
      </c>
    </row>
    <row r="19" spans="1:14" ht="15.75" customHeight="1" x14ac:dyDescent="0.25">
      <c r="A19" s="3" t="s">
        <v>21</v>
      </c>
      <c r="B19" s="3" t="s">
        <v>33</v>
      </c>
      <c r="C19" s="4">
        <v>69.83</v>
      </c>
      <c r="D19" s="4">
        <v>89.03</v>
      </c>
      <c r="E19" s="6">
        <v>11.93</v>
      </c>
      <c r="F19" s="6">
        <v>68701.960000000006</v>
      </c>
      <c r="G19" s="6">
        <v>6.95</v>
      </c>
      <c r="H19" s="4">
        <v>70.8</v>
      </c>
      <c r="I19" s="4">
        <v>74.83</v>
      </c>
      <c r="J19" s="4">
        <v>560159</v>
      </c>
      <c r="K19" s="4">
        <v>5.46</v>
      </c>
      <c r="L19" s="7">
        <v>6.25</v>
      </c>
      <c r="M19" s="7">
        <v>6.46</v>
      </c>
      <c r="N19" s="1">
        <v>0.30599999999999999</v>
      </c>
    </row>
    <row r="20" spans="1:14" ht="15.75" customHeight="1" x14ac:dyDescent="0.25">
      <c r="A20" s="3" t="s">
        <v>21</v>
      </c>
      <c r="B20" s="3" t="s">
        <v>34</v>
      </c>
      <c r="C20" s="4">
        <v>71.36</v>
      </c>
      <c r="D20" s="4">
        <v>91.55</v>
      </c>
      <c r="E20" s="6">
        <v>9.49</v>
      </c>
      <c r="F20" s="6">
        <v>33126.46</v>
      </c>
      <c r="G20" s="6">
        <v>7.46</v>
      </c>
      <c r="H20" s="4">
        <v>71.34</v>
      </c>
      <c r="I20" s="4">
        <v>75.8</v>
      </c>
      <c r="J20" s="4">
        <v>434161</v>
      </c>
      <c r="K20" s="4">
        <v>6.19</v>
      </c>
      <c r="L20" s="7">
        <v>6.73</v>
      </c>
      <c r="M20" s="7">
        <v>7.65</v>
      </c>
      <c r="N20" s="1">
        <v>0.32</v>
      </c>
    </row>
    <row r="21" spans="1:14" ht="15.75" customHeight="1" x14ac:dyDescent="0.25">
      <c r="A21" s="3" t="s">
        <v>21</v>
      </c>
      <c r="B21" s="3" t="s">
        <v>35</v>
      </c>
      <c r="C21" s="4">
        <v>72.650000000000006</v>
      </c>
      <c r="D21" s="4">
        <v>87.18</v>
      </c>
      <c r="E21" s="6">
        <v>8.41</v>
      </c>
      <c r="F21" s="6">
        <v>54142.29</v>
      </c>
      <c r="G21" s="6">
        <v>8.14</v>
      </c>
      <c r="H21" s="4">
        <v>70.040000000000006</v>
      </c>
      <c r="I21" s="4">
        <v>74.040000000000006</v>
      </c>
      <c r="J21" s="4">
        <v>467948</v>
      </c>
      <c r="K21" s="4">
        <v>5.84</v>
      </c>
      <c r="L21" s="7">
        <v>7.34</v>
      </c>
      <c r="M21" s="7">
        <v>7.72</v>
      </c>
      <c r="N21" s="1">
        <v>0.39800000000000002</v>
      </c>
    </row>
    <row r="22" spans="1:14" ht="15.75" customHeight="1" x14ac:dyDescent="0.25">
      <c r="A22" s="3" t="s">
        <v>21</v>
      </c>
      <c r="B22" s="3" t="s">
        <v>36</v>
      </c>
      <c r="C22" s="4">
        <v>72.900000000000006</v>
      </c>
      <c r="D22" s="4">
        <v>91.23</v>
      </c>
      <c r="E22" s="6">
        <v>7.86</v>
      </c>
      <c r="F22" s="6">
        <v>194903.1</v>
      </c>
      <c r="G22" s="5">
        <v>8.0500000000000007</v>
      </c>
      <c r="H22" s="4">
        <v>71.099999999999994</v>
      </c>
      <c r="I22" s="4">
        <v>75.290000000000006</v>
      </c>
      <c r="J22" s="4">
        <v>597345</v>
      </c>
      <c r="K22" s="4">
        <v>5.0999999999999996</v>
      </c>
      <c r="L22" s="7">
        <v>8.0399999999999991</v>
      </c>
      <c r="M22" s="7">
        <v>8.9499999999999993</v>
      </c>
      <c r="N22" s="1">
        <v>0.376</v>
      </c>
    </row>
    <row r="23" spans="1:14" ht="15.75" customHeight="1" x14ac:dyDescent="0.25">
      <c r="A23" s="3" t="s">
        <v>21</v>
      </c>
      <c r="B23" s="3" t="s">
        <v>37</v>
      </c>
      <c r="C23" s="4">
        <v>76.44</v>
      </c>
      <c r="D23" s="4">
        <v>89.72</v>
      </c>
      <c r="E23" s="5">
        <v>4.8</v>
      </c>
      <c r="F23" s="6">
        <v>293664.8</v>
      </c>
      <c r="G23" s="6">
        <v>9.76</v>
      </c>
      <c r="H23" s="4">
        <v>72.75</v>
      </c>
      <c r="I23" s="4">
        <v>76.55</v>
      </c>
      <c r="J23" s="4">
        <v>674924</v>
      </c>
      <c r="K23" s="4">
        <v>4.5999999999999996</v>
      </c>
      <c r="L23" s="7">
        <v>8.82</v>
      </c>
      <c r="M23" s="7">
        <v>8.8699999999999992</v>
      </c>
      <c r="N23" s="1">
        <v>0.36699999999999999</v>
      </c>
    </row>
    <row r="24" spans="1:14" ht="15.75" customHeight="1" x14ac:dyDescent="0.25">
      <c r="A24" s="3" t="s">
        <v>21</v>
      </c>
      <c r="B24" s="3" t="s">
        <v>38</v>
      </c>
      <c r="C24" s="4">
        <v>70.03</v>
      </c>
      <c r="D24" s="4">
        <v>81.02</v>
      </c>
      <c r="E24" s="6">
        <v>10.49</v>
      </c>
      <c r="F24" s="6">
        <v>36793.68</v>
      </c>
      <c r="G24" s="6">
        <v>8.24</v>
      </c>
      <c r="H24" s="4">
        <v>71.23</v>
      </c>
      <c r="I24" s="4">
        <v>75.56</v>
      </c>
      <c r="J24" s="4">
        <v>455325</v>
      </c>
      <c r="K24" s="4">
        <v>6.25</v>
      </c>
      <c r="L24" s="7">
        <v>6.7</v>
      </c>
      <c r="M24" s="7">
        <v>8.11</v>
      </c>
      <c r="N24" s="1">
        <v>0.4</v>
      </c>
    </row>
    <row r="25" spans="1:14" ht="15.75" customHeight="1" x14ac:dyDescent="0.25">
      <c r="A25" s="3" t="s">
        <v>21</v>
      </c>
      <c r="B25" s="3" t="s">
        <v>39</v>
      </c>
      <c r="C25" s="4">
        <v>69.849999999999994</v>
      </c>
      <c r="D25" s="4">
        <v>90.38</v>
      </c>
      <c r="E25" s="6">
        <v>8.75</v>
      </c>
      <c r="F25" s="6">
        <v>9324.31</v>
      </c>
      <c r="G25" s="5">
        <v>8.1</v>
      </c>
      <c r="H25" s="4">
        <v>70.45</v>
      </c>
      <c r="I25" s="4">
        <v>74.459999999999994</v>
      </c>
      <c r="J25" s="4">
        <v>470068</v>
      </c>
      <c r="K25" s="4">
        <v>5.22</v>
      </c>
      <c r="L25" s="7">
        <v>1.58</v>
      </c>
      <c r="M25" s="7">
        <v>1.52</v>
      </c>
      <c r="N25" s="1">
        <v>0.28599999999999998</v>
      </c>
    </row>
    <row r="26" spans="1:14" ht="15.75" customHeight="1" x14ac:dyDescent="0.25">
      <c r="A26" s="3" t="s">
        <v>21</v>
      </c>
      <c r="B26" s="3" t="s">
        <v>40</v>
      </c>
      <c r="C26" s="4">
        <v>78.52</v>
      </c>
      <c r="D26" s="4">
        <v>91.26</v>
      </c>
      <c r="E26" s="6">
        <v>6.53</v>
      </c>
      <c r="F26" s="6">
        <v>38964.67</v>
      </c>
      <c r="G26" s="6">
        <v>10.71</v>
      </c>
      <c r="H26" s="4">
        <v>72.89</v>
      </c>
      <c r="I26" s="4">
        <v>76.69</v>
      </c>
      <c r="J26" s="4">
        <v>699861</v>
      </c>
      <c r="K26" s="4">
        <v>7.98</v>
      </c>
      <c r="L26" s="7">
        <v>8.1300000000000008</v>
      </c>
      <c r="M26" s="7">
        <v>9.39</v>
      </c>
      <c r="N26" s="1">
        <v>0.47699999999999998</v>
      </c>
    </row>
    <row r="27" spans="1:14" x14ac:dyDescent="0.25">
      <c r="A27" s="3" t="s">
        <v>21</v>
      </c>
      <c r="B27" s="3" t="s">
        <v>41</v>
      </c>
      <c r="C27" s="4">
        <v>76.849999999999994</v>
      </c>
      <c r="D27" s="4">
        <v>92.59</v>
      </c>
      <c r="E27" s="5">
        <v>7.2</v>
      </c>
      <c r="F27" s="6">
        <v>10303.16</v>
      </c>
      <c r="G27" s="6">
        <v>10.38</v>
      </c>
      <c r="H27" s="4">
        <v>71.23</v>
      </c>
      <c r="I27" s="4">
        <v>75.569999999999993</v>
      </c>
      <c r="J27" s="4">
        <v>678258</v>
      </c>
      <c r="K27" s="4">
        <v>5.57</v>
      </c>
      <c r="L27" s="7">
        <v>8.34</v>
      </c>
      <c r="M27" s="7">
        <v>8.5299999999999994</v>
      </c>
      <c r="N27" s="1">
        <v>0.436</v>
      </c>
    </row>
    <row r="28" spans="1:14" x14ac:dyDescent="0.25">
      <c r="A28" s="3" t="s">
        <v>21</v>
      </c>
      <c r="B28" s="3" t="s">
        <v>42</v>
      </c>
      <c r="C28" s="4">
        <v>83.52</v>
      </c>
      <c r="D28" s="4">
        <v>94.87</v>
      </c>
      <c r="E28" s="6">
        <v>3.87</v>
      </c>
      <c r="F28" s="6">
        <v>233053.8</v>
      </c>
      <c r="G28" s="5">
        <v>11.07</v>
      </c>
      <c r="H28" s="4">
        <v>73.5</v>
      </c>
      <c r="I28" s="4">
        <v>77.239999999999995</v>
      </c>
      <c r="J28" s="4">
        <v>614707</v>
      </c>
      <c r="K28" s="4">
        <v>5.48</v>
      </c>
      <c r="L28" s="7">
        <v>7.4</v>
      </c>
      <c r="M28" s="7">
        <v>8.83</v>
      </c>
      <c r="N28" s="1">
        <v>0.44</v>
      </c>
    </row>
    <row r="29" spans="1:14" x14ac:dyDescent="0.25">
      <c r="A29" s="3" t="s">
        <v>21</v>
      </c>
      <c r="B29" s="3" t="s">
        <v>43</v>
      </c>
      <c r="C29" s="4">
        <v>77.08</v>
      </c>
      <c r="D29" s="4">
        <v>95.83</v>
      </c>
      <c r="E29" s="5">
        <v>9.02</v>
      </c>
      <c r="F29" s="6">
        <v>19884.060000000001</v>
      </c>
      <c r="G29" s="6">
        <v>10.53</v>
      </c>
      <c r="H29" s="4">
        <v>71.22</v>
      </c>
      <c r="I29" s="4">
        <v>75.55</v>
      </c>
      <c r="J29" s="4">
        <v>545592</v>
      </c>
      <c r="K29" s="4">
        <v>6.56</v>
      </c>
      <c r="L29" s="7">
        <v>6.29</v>
      </c>
      <c r="M29" s="7">
        <v>7.66</v>
      </c>
      <c r="N29" s="1">
        <v>0.42399999999999999</v>
      </c>
    </row>
    <row r="30" spans="1:14" x14ac:dyDescent="0.25">
      <c r="A30" s="3" t="s">
        <v>21</v>
      </c>
      <c r="B30" s="3" t="s">
        <v>44</v>
      </c>
      <c r="C30" s="4">
        <v>83.54</v>
      </c>
      <c r="D30" s="4">
        <v>93.62</v>
      </c>
      <c r="E30" s="5">
        <v>4.01</v>
      </c>
      <c r="F30" s="6">
        <v>81251.61</v>
      </c>
      <c r="G30" s="6">
        <v>11.79</v>
      </c>
      <c r="H30" s="4">
        <v>74.290000000000006</v>
      </c>
      <c r="I30" s="4">
        <v>77.75</v>
      </c>
      <c r="J30" s="4">
        <v>842927</v>
      </c>
      <c r="K30" s="4">
        <v>4.88</v>
      </c>
      <c r="L30" s="7">
        <v>7.82</v>
      </c>
      <c r="M30" s="7">
        <v>7.9</v>
      </c>
      <c r="N30" s="1">
        <v>0.435</v>
      </c>
    </row>
    <row r="31" spans="1:14" x14ac:dyDescent="0.25">
      <c r="A31" s="3" t="s">
        <v>21</v>
      </c>
      <c r="B31" s="3" t="s">
        <v>45</v>
      </c>
      <c r="C31" s="4">
        <v>82.91</v>
      </c>
      <c r="D31" s="4">
        <v>93.7</v>
      </c>
      <c r="E31" s="6">
        <v>2.34</v>
      </c>
      <c r="F31" s="6">
        <v>58241.86</v>
      </c>
      <c r="G31" s="6">
        <v>11.59</v>
      </c>
      <c r="H31" s="4">
        <v>73.680000000000007</v>
      </c>
      <c r="I31" s="4">
        <v>77.41</v>
      </c>
      <c r="J31" s="4">
        <v>843893</v>
      </c>
      <c r="K31" s="4">
        <v>4.5199999999999996</v>
      </c>
      <c r="L31" s="7">
        <v>6.27</v>
      </c>
      <c r="M31" s="7">
        <v>6.97</v>
      </c>
      <c r="N31" s="1">
        <v>0.39800000000000002</v>
      </c>
    </row>
    <row r="32" spans="1:14" x14ac:dyDescent="0.25">
      <c r="A32" s="3" t="s">
        <v>21</v>
      </c>
      <c r="B32" s="3" t="s">
        <v>46</v>
      </c>
      <c r="C32" s="4">
        <v>80.08</v>
      </c>
      <c r="D32" s="4">
        <v>92.28</v>
      </c>
      <c r="E32" s="6">
        <v>4.3899999999999997</v>
      </c>
      <c r="F32" s="6">
        <v>27296.93</v>
      </c>
      <c r="G32" s="6">
        <v>11.52</v>
      </c>
      <c r="H32" s="4">
        <v>73.23</v>
      </c>
      <c r="I32" s="4">
        <v>77.010000000000005</v>
      </c>
      <c r="J32" s="4">
        <v>612567</v>
      </c>
      <c r="K32" s="4">
        <v>5.43</v>
      </c>
      <c r="L32" s="7">
        <v>8.9700000000000006</v>
      </c>
      <c r="M32" s="7">
        <v>10.52</v>
      </c>
      <c r="N32" s="1">
        <v>0.40200000000000002</v>
      </c>
    </row>
    <row r="33" spans="1:14" x14ac:dyDescent="0.25">
      <c r="A33" s="3" t="s">
        <v>21</v>
      </c>
      <c r="B33" s="3" t="s">
        <v>47</v>
      </c>
      <c r="C33" s="4">
        <v>75.040000000000006</v>
      </c>
      <c r="D33" s="4">
        <v>92.22</v>
      </c>
      <c r="E33" s="5">
        <v>11.1</v>
      </c>
      <c r="F33" s="6">
        <v>18709.87</v>
      </c>
      <c r="G33" s="6">
        <v>9.6300000000000008</v>
      </c>
      <c r="H33" s="4">
        <v>71.11</v>
      </c>
      <c r="I33" s="4">
        <v>75.319999999999993</v>
      </c>
      <c r="J33" s="4">
        <v>565377</v>
      </c>
      <c r="K33" s="4">
        <v>5.31</v>
      </c>
      <c r="L33" s="7">
        <v>6.49</v>
      </c>
      <c r="M33" s="7">
        <v>6.55</v>
      </c>
      <c r="N33" s="1">
        <v>0.35899999999999999</v>
      </c>
    </row>
    <row r="34" spans="1:14" x14ac:dyDescent="0.25">
      <c r="A34" s="3" t="s">
        <v>21</v>
      </c>
      <c r="B34" s="3" t="s">
        <v>48</v>
      </c>
      <c r="C34" s="4">
        <v>73.64</v>
      </c>
      <c r="D34" s="4">
        <v>88.12</v>
      </c>
      <c r="E34" s="6">
        <v>5.85</v>
      </c>
      <c r="F34" s="6">
        <v>3883.98</v>
      </c>
      <c r="G34" s="6">
        <v>8.83</v>
      </c>
      <c r="H34" s="4">
        <v>70.08</v>
      </c>
      <c r="I34" s="4">
        <v>74.08</v>
      </c>
      <c r="J34" s="4">
        <v>430590</v>
      </c>
      <c r="K34" s="4">
        <v>5.13</v>
      </c>
      <c r="L34" s="7">
        <v>5.44</v>
      </c>
      <c r="M34" s="7">
        <v>5.43</v>
      </c>
      <c r="N34" s="1">
        <v>0.318</v>
      </c>
    </row>
    <row r="35" spans="1:14" x14ac:dyDescent="0.25">
      <c r="A35" s="3" t="s">
        <v>49</v>
      </c>
      <c r="B35" s="3" t="s">
        <v>50</v>
      </c>
      <c r="C35" s="4">
        <v>66.989999999999995</v>
      </c>
      <c r="D35" s="4">
        <v>87.23</v>
      </c>
      <c r="E35" s="6">
        <v>9.18</v>
      </c>
      <c r="F35" s="6">
        <v>21928.59</v>
      </c>
      <c r="G35" s="6">
        <v>7.16</v>
      </c>
      <c r="H35" s="4">
        <v>63.9</v>
      </c>
      <c r="I35" s="4">
        <v>67.78</v>
      </c>
      <c r="J35" s="4">
        <v>479886</v>
      </c>
      <c r="K35" s="4">
        <v>2.7</v>
      </c>
      <c r="L35" s="7">
        <v>8.09</v>
      </c>
      <c r="M35" s="7">
        <v>9.0500000000000007</v>
      </c>
      <c r="N35" s="1">
        <v>0.245</v>
      </c>
    </row>
    <row r="36" spans="1:14" x14ac:dyDescent="0.25">
      <c r="A36" s="3" t="s">
        <v>49</v>
      </c>
      <c r="B36" s="3" t="s">
        <v>51</v>
      </c>
      <c r="C36" s="4">
        <v>65.86</v>
      </c>
      <c r="D36" s="4">
        <v>81.22</v>
      </c>
      <c r="E36" s="6">
        <v>8.44</v>
      </c>
      <c r="F36" s="6">
        <v>23377.24</v>
      </c>
      <c r="G36" s="6">
        <v>6.61</v>
      </c>
      <c r="H36" s="4">
        <v>66.400000000000006</v>
      </c>
      <c r="I36" s="4">
        <v>70.38</v>
      </c>
      <c r="J36" s="4">
        <v>440705</v>
      </c>
      <c r="K36" s="4">
        <v>2.52</v>
      </c>
      <c r="L36" s="7">
        <v>6.23</v>
      </c>
      <c r="M36" s="7">
        <v>7.57</v>
      </c>
      <c r="N36" s="1">
        <v>0.25700000000000001</v>
      </c>
    </row>
    <row r="37" spans="1:14" x14ac:dyDescent="0.25">
      <c r="A37" s="3" t="s">
        <v>49</v>
      </c>
      <c r="B37" s="3" t="s">
        <v>52</v>
      </c>
      <c r="C37" s="4">
        <v>74.09</v>
      </c>
      <c r="D37" s="4">
        <v>91.69</v>
      </c>
      <c r="E37" s="6">
        <v>6.55</v>
      </c>
      <c r="F37" s="6">
        <v>113998.2</v>
      </c>
      <c r="G37" s="5">
        <v>9.06</v>
      </c>
      <c r="H37" s="4">
        <v>68.95</v>
      </c>
      <c r="I37" s="4">
        <v>72.900000000000006</v>
      </c>
      <c r="J37" s="4">
        <v>632941</v>
      </c>
      <c r="K37" s="4">
        <v>2.2200000000000002</v>
      </c>
      <c r="L37" s="7">
        <v>6.06</v>
      </c>
      <c r="M37" s="7">
        <v>6.94</v>
      </c>
      <c r="N37" s="1">
        <v>0.26900000000000002</v>
      </c>
    </row>
    <row r="38" spans="1:14" x14ac:dyDescent="0.25">
      <c r="A38" s="3" t="s">
        <v>49</v>
      </c>
      <c r="B38" s="3" t="s">
        <v>53</v>
      </c>
      <c r="C38" s="4">
        <v>69.03</v>
      </c>
      <c r="D38" s="4">
        <v>92.54</v>
      </c>
      <c r="E38" s="6">
        <v>4.51</v>
      </c>
      <c r="F38" s="6">
        <v>63255.33</v>
      </c>
      <c r="G38" s="6">
        <v>7.88</v>
      </c>
      <c r="H38" s="4">
        <v>64</v>
      </c>
      <c r="I38" s="4">
        <v>67.89</v>
      </c>
      <c r="J38" s="4">
        <v>449291</v>
      </c>
      <c r="K38" s="4">
        <v>2.13</v>
      </c>
      <c r="L38" s="7">
        <v>9.18</v>
      </c>
      <c r="M38" s="7">
        <v>9.94</v>
      </c>
      <c r="N38" s="1">
        <v>0.26700000000000002</v>
      </c>
    </row>
    <row r="39" spans="1:14" x14ac:dyDescent="0.25">
      <c r="A39" s="3" t="s">
        <v>49</v>
      </c>
      <c r="B39" s="3" t="s">
        <v>54</v>
      </c>
      <c r="C39" s="4">
        <v>80.02</v>
      </c>
      <c r="D39" s="4">
        <v>94.95</v>
      </c>
      <c r="E39" s="6">
        <v>5.43</v>
      </c>
      <c r="F39" s="6">
        <v>125060.3</v>
      </c>
      <c r="G39" s="6">
        <v>11.14</v>
      </c>
      <c r="H39" s="4">
        <v>70.5</v>
      </c>
      <c r="I39" s="4">
        <v>74.52</v>
      </c>
      <c r="J39" s="4">
        <v>785113</v>
      </c>
      <c r="K39" s="4">
        <v>1.89</v>
      </c>
      <c r="L39" s="7">
        <v>5.92</v>
      </c>
      <c r="M39" s="7">
        <v>6.76</v>
      </c>
      <c r="N39" s="1">
        <v>0.32500000000000001</v>
      </c>
    </row>
    <row r="40" spans="1:14" x14ac:dyDescent="0.25">
      <c r="A40" s="3" t="s">
        <v>49</v>
      </c>
      <c r="B40" s="3" t="s">
        <v>55</v>
      </c>
      <c r="C40" s="4">
        <v>75.14</v>
      </c>
      <c r="D40" s="4">
        <v>88.29</v>
      </c>
      <c r="E40" s="6">
        <v>3.75</v>
      </c>
      <c r="F40" s="6">
        <v>88628.11</v>
      </c>
      <c r="G40" s="6">
        <v>10.39</v>
      </c>
      <c r="H40" s="4">
        <v>65.72</v>
      </c>
      <c r="I40" s="4">
        <v>69.7</v>
      </c>
      <c r="J40" s="4">
        <v>663533</v>
      </c>
      <c r="K40" s="4">
        <v>1.96</v>
      </c>
      <c r="L40" s="7">
        <v>6.08</v>
      </c>
      <c r="M40" s="7">
        <v>7.25</v>
      </c>
      <c r="N40" s="1">
        <v>0.36</v>
      </c>
    </row>
    <row r="41" spans="1:14" x14ac:dyDescent="0.25">
      <c r="A41" s="3" t="s">
        <v>49</v>
      </c>
      <c r="B41" s="3" t="s">
        <v>56</v>
      </c>
      <c r="C41" s="4">
        <v>73.989999999999995</v>
      </c>
      <c r="D41" s="4">
        <v>92.61</v>
      </c>
      <c r="E41" s="6">
        <v>5.65</v>
      </c>
      <c r="F41" s="6">
        <v>26863.08</v>
      </c>
      <c r="G41" s="6">
        <v>8.93</v>
      </c>
      <c r="H41" s="4">
        <v>67.33</v>
      </c>
      <c r="I41" s="4">
        <v>71.290000000000006</v>
      </c>
      <c r="J41" s="4">
        <v>540786</v>
      </c>
      <c r="K41" s="4">
        <v>2.1800000000000002</v>
      </c>
      <c r="L41" s="7">
        <v>7.12</v>
      </c>
      <c r="M41" s="7">
        <v>7.45</v>
      </c>
      <c r="N41" s="1">
        <v>0.32400000000000001</v>
      </c>
    </row>
    <row r="42" spans="1:14" x14ac:dyDescent="0.25">
      <c r="A42" s="3" t="s">
        <v>49</v>
      </c>
      <c r="B42" s="3" t="s">
        <v>57</v>
      </c>
      <c r="C42" s="4">
        <v>82.89</v>
      </c>
      <c r="D42" s="4">
        <v>94.47</v>
      </c>
      <c r="E42" s="6">
        <v>2.36</v>
      </c>
      <c r="F42" s="6">
        <v>73052.84</v>
      </c>
      <c r="G42" s="6">
        <v>11.86</v>
      </c>
      <c r="H42" s="4">
        <v>71.209999999999994</v>
      </c>
      <c r="I42" s="4">
        <v>75.52</v>
      </c>
      <c r="J42" s="4">
        <v>828278</v>
      </c>
      <c r="K42" s="4">
        <v>3.13</v>
      </c>
      <c r="L42" s="7">
        <v>5.09</v>
      </c>
      <c r="M42" s="7">
        <v>5.81</v>
      </c>
      <c r="N42" s="1">
        <v>0.39500000000000002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63BC-F5BB-456A-A8DB-AA577516DEA9}">
  <dimension ref="A1:H43"/>
  <sheetViews>
    <sheetView workbookViewId="0">
      <selection activeCell="C2" sqref="C2:C42"/>
    </sheetView>
  </sheetViews>
  <sheetFormatPr defaultRowHeight="12.75" x14ac:dyDescent="0.2"/>
  <cols>
    <col min="2" max="2" width="18.140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" x14ac:dyDescent="0.25">
      <c r="A2" s="3" t="s">
        <v>14</v>
      </c>
      <c r="B2" s="3" t="s">
        <v>15</v>
      </c>
      <c r="C2">
        <v>2.86</v>
      </c>
      <c r="D2">
        <v>2.41</v>
      </c>
      <c r="E2" s="4">
        <v>3.91</v>
      </c>
      <c r="F2" s="4">
        <v>3.63</v>
      </c>
      <c r="G2" s="4">
        <v>4.3899999999999997</v>
      </c>
    </row>
    <row r="3" spans="1:7" ht="15" x14ac:dyDescent="0.25">
      <c r="A3" s="3" t="s">
        <v>14</v>
      </c>
      <c r="B3" s="3" t="s">
        <v>16</v>
      </c>
      <c r="C3">
        <v>1.5</v>
      </c>
      <c r="D3">
        <v>1.63</v>
      </c>
      <c r="E3" s="4">
        <v>2.5099999999999998</v>
      </c>
      <c r="F3" s="4">
        <v>2.2799999999999998</v>
      </c>
      <c r="G3" s="4">
        <v>2.4500000000000002</v>
      </c>
    </row>
    <row r="4" spans="1:7" ht="15" x14ac:dyDescent="0.25">
      <c r="A4" s="3" t="s">
        <v>14</v>
      </c>
      <c r="B4" s="3" t="s">
        <v>17</v>
      </c>
      <c r="C4">
        <v>2.1800000000000002</v>
      </c>
      <c r="D4">
        <v>2.2400000000000002</v>
      </c>
      <c r="E4" s="4">
        <v>3.71</v>
      </c>
      <c r="F4" s="4">
        <v>3.08</v>
      </c>
      <c r="G4" s="4">
        <v>4.38</v>
      </c>
    </row>
    <row r="5" spans="1:7" ht="15" x14ac:dyDescent="0.25">
      <c r="A5" s="3" t="s">
        <v>14</v>
      </c>
      <c r="B5" s="3" t="s">
        <v>18</v>
      </c>
      <c r="C5">
        <v>1.97</v>
      </c>
      <c r="D5">
        <v>3.08</v>
      </c>
      <c r="E5" s="4">
        <v>3.82</v>
      </c>
      <c r="F5" s="4">
        <v>2.91</v>
      </c>
      <c r="G5" s="4">
        <v>3.63</v>
      </c>
    </row>
    <row r="6" spans="1:7" ht="15" x14ac:dyDescent="0.25">
      <c r="A6" s="3" t="s">
        <v>14</v>
      </c>
      <c r="B6" s="3" t="s">
        <v>19</v>
      </c>
      <c r="C6">
        <v>1.78</v>
      </c>
      <c r="D6">
        <v>2</v>
      </c>
      <c r="E6" s="4">
        <v>2.8</v>
      </c>
      <c r="F6" s="4">
        <v>2.0299999999999998</v>
      </c>
      <c r="G6" s="4">
        <v>3.55</v>
      </c>
    </row>
    <row r="7" spans="1:7" ht="15" x14ac:dyDescent="0.25">
      <c r="A7" s="3" t="s">
        <v>14</v>
      </c>
      <c r="B7" s="3" t="s">
        <v>20</v>
      </c>
      <c r="C7">
        <v>2.1800000000000002</v>
      </c>
      <c r="D7">
        <v>2.63</v>
      </c>
      <c r="E7" s="4">
        <v>4.78</v>
      </c>
      <c r="F7" s="4">
        <v>2.62</v>
      </c>
      <c r="G7" s="4">
        <v>3.39</v>
      </c>
    </row>
    <row r="8" spans="1:7" ht="15" x14ac:dyDescent="0.25">
      <c r="A8" s="3" t="s">
        <v>21</v>
      </c>
      <c r="B8" s="3" t="s">
        <v>22</v>
      </c>
      <c r="C8">
        <v>4.0599999999999996</v>
      </c>
      <c r="D8">
        <v>4.7300000000000004</v>
      </c>
      <c r="E8" s="4">
        <v>7.03</v>
      </c>
      <c r="F8" s="4">
        <v>5.3</v>
      </c>
      <c r="G8" s="4">
        <v>5.68</v>
      </c>
    </row>
    <row r="9" spans="1:7" ht="15" x14ac:dyDescent="0.25">
      <c r="A9" s="3" t="s">
        <v>21</v>
      </c>
      <c r="B9" s="3" t="s">
        <v>23</v>
      </c>
      <c r="C9">
        <v>4.8899999999999997</v>
      </c>
      <c r="D9">
        <v>4.8099999999999996</v>
      </c>
      <c r="E9" s="4">
        <v>7.42</v>
      </c>
      <c r="F9" s="4">
        <v>5.98</v>
      </c>
      <c r="G9" s="4">
        <v>5.82</v>
      </c>
    </row>
    <row r="10" spans="1:7" ht="15" x14ac:dyDescent="0.25">
      <c r="A10" s="3" t="s">
        <v>21</v>
      </c>
      <c r="B10" s="3" t="s">
        <v>24</v>
      </c>
      <c r="C10">
        <v>4.75</v>
      </c>
      <c r="D10">
        <v>6.2</v>
      </c>
      <c r="E10" s="4">
        <v>9.5399999999999991</v>
      </c>
      <c r="F10" s="4">
        <v>7.02</v>
      </c>
      <c r="G10" s="4">
        <v>5.37</v>
      </c>
    </row>
    <row r="11" spans="1:7" ht="15" x14ac:dyDescent="0.25">
      <c r="A11" s="3" t="s">
        <v>21</v>
      </c>
      <c r="B11" s="3" t="s">
        <v>25</v>
      </c>
      <c r="C11">
        <v>5.07</v>
      </c>
      <c r="D11">
        <v>5.53</v>
      </c>
      <c r="E11" s="4">
        <v>8.3000000000000007</v>
      </c>
      <c r="F11" s="4">
        <v>5.19</v>
      </c>
      <c r="G11" s="4">
        <v>5.8</v>
      </c>
    </row>
    <row r="12" spans="1:7" ht="15" x14ac:dyDescent="0.25">
      <c r="A12" s="3" t="s">
        <v>21</v>
      </c>
      <c r="B12" s="3" t="s">
        <v>26</v>
      </c>
      <c r="C12">
        <v>4.0599999999999996</v>
      </c>
      <c r="D12">
        <v>5</v>
      </c>
      <c r="E12" s="4">
        <v>7.74</v>
      </c>
      <c r="F12" s="4">
        <v>5.76</v>
      </c>
      <c r="G12" s="4">
        <v>5.0199999999999996</v>
      </c>
    </row>
    <row r="13" spans="1:7" ht="15" x14ac:dyDescent="0.25">
      <c r="A13" s="3" t="s">
        <v>21</v>
      </c>
      <c r="B13" s="3" t="s">
        <v>27</v>
      </c>
      <c r="C13">
        <v>5.64</v>
      </c>
      <c r="D13">
        <v>7.12</v>
      </c>
      <c r="E13" s="4">
        <v>10.45</v>
      </c>
      <c r="F13" s="4">
        <v>8.65</v>
      </c>
      <c r="G13" s="4">
        <v>5.95</v>
      </c>
    </row>
    <row r="14" spans="1:7" ht="15" x14ac:dyDescent="0.25">
      <c r="A14" s="3" t="s">
        <v>21</v>
      </c>
      <c r="B14" s="3" t="s">
        <v>28</v>
      </c>
      <c r="C14">
        <v>5.1100000000000003</v>
      </c>
      <c r="D14">
        <v>5.87</v>
      </c>
      <c r="E14" s="4">
        <v>6.74</v>
      </c>
      <c r="F14" s="4">
        <v>6.1</v>
      </c>
      <c r="G14" s="4">
        <v>5.78</v>
      </c>
    </row>
    <row r="15" spans="1:7" ht="15" x14ac:dyDescent="0.25">
      <c r="A15" s="3" t="s">
        <v>21</v>
      </c>
      <c r="B15" s="3" t="s">
        <v>29</v>
      </c>
      <c r="C15">
        <v>3.51</v>
      </c>
      <c r="D15">
        <v>3.73</v>
      </c>
      <c r="E15" s="4">
        <v>6.63</v>
      </c>
      <c r="F15" s="4">
        <v>6.43</v>
      </c>
      <c r="G15" s="4">
        <v>5.83</v>
      </c>
    </row>
    <row r="16" spans="1:7" ht="15" x14ac:dyDescent="0.25">
      <c r="A16" s="3" t="s">
        <v>21</v>
      </c>
      <c r="B16" s="3" t="s">
        <v>30</v>
      </c>
      <c r="C16">
        <v>5.41</v>
      </c>
      <c r="D16">
        <v>6.19</v>
      </c>
      <c r="E16" s="4">
        <v>9.0399999999999991</v>
      </c>
      <c r="F16" s="4">
        <v>7.28</v>
      </c>
      <c r="G16" s="4">
        <v>5.65</v>
      </c>
    </row>
    <row r="17" spans="1:7" ht="15" x14ac:dyDescent="0.25">
      <c r="A17" s="3" t="s">
        <v>21</v>
      </c>
      <c r="B17" s="3" t="s">
        <v>31</v>
      </c>
      <c r="C17">
        <v>4.17</v>
      </c>
      <c r="D17">
        <v>4.9400000000000004</v>
      </c>
      <c r="E17" s="4">
        <v>9.8800000000000008</v>
      </c>
      <c r="F17" s="4">
        <v>7.9</v>
      </c>
      <c r="G17" s="4">
        <v>5.95</v>
      </c>
    </row>
    <row r="18" spans="1:7" ht="15" x14ac:dyDescent="0.25">
      <c r="A18" s="3" t="s">
        <v>21</v>
      </c>
      <c r="B18" s="3" t="s">
        <v>32</v>
      </c>
      <c r="C18">
        <v>4.01</v>
      </c>
      <c r="D18">
        <v>5.09</v>
      </c>
      <c r="E18" s="4">
        <v>7.43</v>
      </c>
      <c r="F18" s="4">
        <v>5.55</v>
      </c>
      <c r="G18" s="4">
        <v>5.43</v>
      </c>
    </row>
    <row r="19" spans="1:7" ht="15" x14ac:dyDescent="0.25">
      <c r="A19" s="3" t="s">
        <v>21</v>
      </c>
      <c r="B19" s="3" t="s">
        <v>33</v>
      </c>
      <c r="C19">
        <v>4.28</v>
      </c>
      <c r="D19">
        <v>3.97</v>
      </c>
      <c r="E19" s="4">
        <v>5.99</v>
      </c>
      <c r="F19" s="4">
        <v>5.4</v>
      </c>
      <c r="G19" s="4">
        <v>5.46</v>
      </c>
    </row>
    <row r="20" spans="1:7" ht="15" x14ac:dyDescent="0.25">
      <c r="A20" s="3" t="s">
        <v>21</v>
      </c>
      <c r="B20" s="3" t="s">
        <v>34</v>
      </c>
      <c r="C20">
        <v>4.8099999999999996</v>
      </c>
      <c r="D20">
        <v>4.16</v>
      </c>
      <c r="E20" s="4">
        <v>7.06</v>
      </c>
      <c r="F20" s="4">
        <v>6.23</v>
      </c>
      <c r="G20" s="4">
        <v>6.19</v>
      </c>
    </row>
    <row r="21" spans="1:7" ht="15" x14ac:dyDescent="0.25">
      <c r="A21" s="3" t="s">
        <v>21</v>
      </c>
      <c r="B21" s="3" t="s">
        <v>35</v>
      </c>
      <c r="C21">
        <v>4.08</v>
      </c>
      <c r="D21">
        <v>3.45</v>
      </c>
      <c r="E21" s="4">
        <v>6.72</v>
      </c>
      <c r="F21" s="4">
        <v>5.07</v>
      </c>
      <c r="G21" s="4">
        <v>5.84</v>
      </c>
    </row>
    <row r="22" spans="1:7" ht="15" x14ac:dyDescent="0.25">
      <c r="A22" s="3" t="s">
        <v>21</v>
      </c>
      <c r="B22" s="3" t="s">
        <v>36</v>
      </c>
      <c r="C22">
        <v>3.79</v>
      </c>
      <c r="D22">
        <v>4.8</v>
      </c>
      <c r="E22" s="4">
        <v>6.73</v>
      </c>
      <c r="F22" s="4">
        <v>5.93</v>
      </c>
      <c r="G22" s="4">
        <v>5.0999999999999996</v>
      </c>
    </row>
    <row r="23" spans="1:7" ht="15" x14ac:dyDescent="0.25">
      <c r="A23" s="3" t="s">
        <v>21</v>
      </c>
      <c r="B23" s="3" t="s">
        <v>37</v>
      </c>
      <c r="C23">
        <v>2.2599999999999998</v>
      </c>
      <c r="D23">
        <v>2.38</v>
      </c>
      <c r="E23" s="4">
        <v>4.3</v>
      </c>
      <c r="F23" s="4">
        <v>4.3600000000000003</v>
      </c>
      <c r="G23" s="4">
        <v>4.5999999999999996</v>
      </c>
    </row>
    <row r="24" spans="1:7" ht="15" x14ac:dyDescent="0.25">
      <c r="A24" s="3" t="s">
        <v>21</v>
      </c>
      <c r="B24" s="3" t="s">
        <v>38</v>
      </c>
      <c r="C24">
        <v>5.07</v>
      </c>
      <c r="D24">
        <v>6.04</v>
      </c>
      <c r="E24" s="4">
        <v>7.81</v>
      </c>
      <c r="F24" s="4">
        <v>7.48</v>
      </c>
      <c r="G24" s="4">
        <v>6.25</v>
      </c>
    </row>
    <row r="25" spans="1:7" ht="15" x14ac:dyDescent="0.25">
      <c r="A25" s="3" t="s">
        <v>21</v>
      </c>
      <c r="B25" s="3" t="s">
        <v>39</v>
      </c>
      <c r="C25">
        <v>4.3899999999999997</v>
      </c>
      <c r="D25">
        <v>4.32</v>
      </c>
      <c r="E25" s="4">
        <v>5.77</v>
      </c>
      <c r="F25" s="4">
        <v>6.04</v>
      </c>
      <c r="G25" s="4">
        <v>5.22</v>
      </c>
    </row>
    <row r="26" spans="1:7" ht="15" x14ac:dyDescent="0.25">
      <c r="A26" s="3" t="s">
        <v>21</v>
      </c>
      <c r="B26" s="3" t="s">
        <v>40</v>
      </c>
      <c r="C26">
        <v>2.95</v>
      </c>
      <c r="D26">
        <v>3.08</v>
      </c>
      <c r="E26" s="4">
        <v>5.35</v>
      </c>
      <c r="F26" s="4">
        <v>4.8600000000000003</v>
      </c>
      <c r="G26" s="4">
        <v>7.98</v>
      </c>
    </row>
    <row r="27" spans="1:7" ht="15" x14ac:dyDescent="0.25">
      <c r="A27" s="3" t="s">
        <v>21</v>
      </c>
      <c r="B27" s="3" t="s">
        <v>41</v>
      </c>
      <c r="C27">
        <v>3.65</v>
      </c>
      <c r="D27">
        <v>4.9000000000000004</v>
      </c>
      <c r="E27" s="4">
        <v>8.4600000000000009</v>
      </c>
      <c r="F27" s="4">
        <v>5.23</v>
      </c>
      <c r="G27" s="4">
        <v>5.57</v>
      </c>
    </row>
    <row r="28" spans="1:7" ht="15" x14ac:dyDescent="0.25">
      <c r="A28" s="3" t="s">
        <v>21</v>
      </c>
      <c r="B28" s="3" t="s">
        <v>42</v>
      </c>
      <c r="C28">
        <v>2.82</v>
      </c>
      <c r="D28">
        <v>2.92</v>
      </c>
      <c r="E28" s="4">
        <v>4.55</v>
      </c>
      <c r="F28" s="4">
        <v>3.64</v>
      </c>
      <c r="G28" s="4">
        <v>5.48</v>
      </c>
    </row>
    <row r="29" spans="1:7" ht="15" x14ac:dyDescent="0.25">
      <c r="A29" s="3" t="s">
        <v>21</v>
      </c>
      <c r="B29" s="3" t="s">
        <v>43</v>
      </c>
      <c r="C29">
        <v>4.5199999999999996</v>
      </c>
      <c r="D29">
        <v>5.71</v>
      </c>
      <c r="E29" s="4">
        <v>7.97</v>
      </c>
      <c r="F29" s="4">
        <v>6.85</v>
      </c>
      <c r="G29" s="4">
        <v>6.56</v>
      </c>
    </row>
    <row r="30" spans="1:7" ht="15" x14ac:dyDescent="0.25">
      <c r="A30" s="3" t="s">
        <v>21</v>
      </c>
      <c r="B30" s="3" t="s">
        <v>44</v>
      </c>
      <c r="C30">
        <v>1.33</v>
      </c>
      <c r="D30">
        <v>1.79</v>
      </c>
      <c r="E30" s="4">
        <v>3.33</v>
      </c>
      <c r="F30" s="4">
        <v>2.27</v>
      </c>
      <c r="G30" s="4">
        <v>4.88</v>
      </c>
    </row>
    <row r="31" spans="1:7" ht="15" x14ac:dyDescent="0.25">
      <c r="A31" s="3" t="s">
        <v>21</v>
      </c>
      <c r="B31" s="3" t="s">
        <v>45</v>
      </c>
      <c r="C31">
        <v>1.26</v>
      </c>
      <c r="D31">
        <v>1.55</v>
      </c>
      <c r="E31" s="4">
        <v>2.15</v>
      </c>
      <c r="F31" s="4">
        <v>1.99</v>
      </c>
      <c r="G31" s="4">
        <v>4.5199999999999996</v>
      </c>
    </row>
    <row r="32" spans="1:7" ht="15" x14ac:dyDescent="0.25">
      <c r="A32" s="3" t="s">
        <v>21</v>
      </c>
      <c r="B32" s="3" t="s">
        <v>46</v>
      </c>
      <c r="C32">
        <v>2.66</v>
      </c>
      <c r="D32">
        <v>3.23</v>
      </c>
      <c r="E32" s="4">
        <v>4.63</v>
      </c>
      <c r="F32" s="4">
        <v>2.98</v>
      </c>
      <c r="G32" s="4">
        <v>5.43</v>
      </c>
    </row>
    <row r="33" spans="1:8" ht="15" x14ac:dyDescent="0.25">
      <c r="A33" s="3" t="s">
        <v>21</v>
      </c>
      <c r="B33" s="3" t="s">
        <v>47</v>
      </c>
      <c r="C33">
        <v>4.17</v>
      </c>
      <c r="D33">
        <v>5.35</v>
      </c>
      <c r="E33" s="4">
        <v>7.92</v>
      </c>
      <c r="F33" s="4">
        <v>5.14</v>
      </c>
      <c r="G33" s="4">
        <v>5.31</v>
      </c>
    </row>
    <row r="34" spans="1:8" ht="15" x14ac:dyDescent="0.25">
      <c r="A34" s="3" t="s">
        <v>21</v>
      </c>
      <c r="B34" s="3" t="s">
        <v>48</v>
      </c>
      <c r="C34">
        <v>3.93</v>
      </c>
      <c r="D34">
        <v>5.93</v>
      </c>
      <c r="E34" s="4">
        <v>6.4</v>
      </c>
      <c r="F34" s="4">
        <v>5.55</v>
      </c>
      <c r="G34" s="4">
        <v>5.13</v>
      </c>
    </row>
    <row r="35" spans="1:8" ht="15" x14ac:dyDescent="0.25">
      <c r="A35" s="3" t="s">
        <v>49</v>
      </c>
      <c r="B35" s="3" t="s">
        <v>50</v>
      </c>
      <c r="C35">
        <v>3.6</v>
      </c>
      <c r="D35">
        <v>4.37</v>
      </c>
      <c r="E35" s="4">
        <v>4.3899999999999997</v>
      </c>
      <c r="F35" s="4">
        <v>4.6900000000000004</v>
      </c>
      <c r="G35" s="4">
        <v>2.7</v>
      </c>
    </row>
    <row r="36" spans="1:8" ht="15" x14ac:dyDescent="0.25">
      <c r="A36" s="3" t="s">
        <v>49</v>
      </c>
      <c r="B36" s="3" t="s">
        <v>51</v>
      </c>
      <c r="C36">
        <v>3.14</v>
      </c>
      <c r="D36">
        <v>3.87</v>
      </c>
      <c r="E36" s="4">
        <v>3.45</v>
      </c>
      <c r="F36" s="4">
        <v>4.82</v>
      </c>
      <c r="G36" s="4">
        <v>2.52</v>
      </c>
    </row>
    <row r="37" spans="1:8" ht="15" x14ac:dyDescent="0.25">
      <c r="A37" s="3" t="s">
        <v>49</v>
      </c>
      <c r="B37" s="3" t="s">
        <v>52</v>
      </c>
      <c r="C37">
        <v>1.84</v>
      </c>
      <c r="D37">
        <v>2.65</v>
      </c>
      <c r="E37" s="4">
        <v>2.2799999999999998</v>
      </c>
      <c r="F37" s="4">
        <v>2.59</v>
      </c>
      <c r="G37" s="4">
        <v>2.2200000000000002</v>
      </c>
    </row>
    <row r="38" spans="1:8" ht="15" x14ac:dyDescent="0.25">
      <c r="A38" s="3" t="s">
        <v>49</v>
      </c>
      <c r="B38" s="3" t="s">
        <v>53</v>
      </c>
      <c r="C38">
        <v>2.44</v>
      </c>
      <c r="D38">
        <v>3.03</v>
      </c>
      <c r="E38" s="4">
        <v>2.9</v>
      </c>
      <c r="F38" s="4">
        <v>3.23</v>
      </c>
      <c r="G38" s="4">
        <v>2.13</v>
      </c>
    </row>
    <row r="39" spans="1:8" ht="15" x14ac:dyDescent="0.25">
      <c r="A39" s="3" t="s">
        <v>49</v>
      </c>
      <c r="B39" s="3" t="s">
        <v>54</v>
      </c>
      <c r="C39">
        <v>1.42</v>
      </c>
      <c r="D39">
        <v>2.16</v>
      </c>
      <c r="E39" s="4">
        <v>1.71</v>
      </c>
      <c r="F39" s="4">
        <v>1.58</v>
      </c>
      <c r="G39" s="4">
        <v>1.89</v>
      </c>
    </row>
    <row r="40" spans="1:8" ht="15" x14ac:dyDescent="0.25">
      <c r="A40" s="3" t="s">
        <v>49</v>
      </c>
      <c r="B40" s="3" t="s">
        <v>55</v>
      </c>
      <c r="C40">
        <v>2.02</v>
      </c>
      <c r="D40">
        <v>2.46</v>
      </c>
      <c r="E40" s="4">
        <v>2.04</v>
      </c>
      <c r="F40" s="4">
        <v>2.19</v>
      </c>
      <c r="G40" s="4">
        <v>1.96</v>
      </c>
    </row>
    <row r="41" spans="1:8" ht="15" x14ac:dyDescent="0.25">
      <c r="A41" s="3" t="s">
        <v>49</v>
      </c>
      <c r="B41" s="3" t="s">
        <v>56</v>
      </c>
      <c r="C41">
        <v>1.29</v>
      </c>
      <c r="D41">
        <v>1.99</v>
      </c>
      <c r="E41" s="4">
        <v>2.42</v>
      </c>
      <c r="F41" s="4">
        <v>2.2999999999999998</v>
      </c>
      <c r="G41" s="4">
        <v>2.1800000000000002</v>
      </c>
    </row>
    <row r="42" spans="1:8" ht="15" x14ac:dyDescent="0.25">
      <c r="A42" s="3" t="s">
        <v>49</v>
      </c>
      <c r="B42" s="3" t="s">
        <v>57</v>
      </c>
      <c r="C42">
        <v>1.51</v>
      </c>
      <c r="D42">
        <v>1.89</v>
      </c>
      <c r="E42" s="4">
        <v>1.5</v>
      </c>
      <c r="F42" s="4">
        <v>1.92</v>
      </c>
      <c r="G42" s="4">
        <v>3.13</v>
      </c>
    </row>
    <row r="43" spans="1:8" x14ac:dyDescent="0.2">
      <c r="H43" s="9" t="s">
        <v>66</v>
      </c>
    </row>
  </sheetData>
  <hyperlinks>
    <hyperlink ref="H43" r:id="rId1" display="https://www.bps.go.id/id/statistics-table/2/MjI2OSMy/prevalensi-ketidakcukupan-konsumsi-pangan--persen--per-kabupaten-kota--persen-.html" xr:uid="{D445B066-1721-4252-834B-19C13AE9933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A65B-E29B-4E48-AD99-AF485D374E6F}">
  <dimension ref="A1:M45"/>
  <sheetViews>
    <sheetView tabSelected="1" topLeftCell="A2" zoomScaleNormal="100" workbookViewId="0">
      <selection activeCell="A2" sqref="A2:B42"/>
    </sheetView>
  </sheetViews>
  <sheetFormatPr defaultRowHeight="12.75" x14ac:dyDescent="0.2"/>
  <cols>
    <col min="2" max="2" width="18.28515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.75" x14ac:dyDescent="0.25">
      <c r="A2" s="3" t="s">
        <v>14</v>
      </c>
      <c r="B2" s="3" t="s">
        <v>15</v>
      </c>
      <c r="C2" s="6">
        <v>14.87</v>
      </c>
      <c r="D2" s="6">
        <v>15.06</v>
      </c>
      <c r="E2" s="6">
        <v>14.11</v>
      </c>
      <c r="F2" s="6">
        <v>13.13</v>
      </c>
      <c r="G2" s="5">
        <v>13.03</v>
      </c>
    </row>
    <row r="3" spans="1:7" ht="15.75" x14ac:dyDescent="0.25">
      <c r="A3" s="3" t="s">
        <v>14</v>
      </c>
      <c r="B3" s="3" t="s">
        <v>16</v>
      </c>
      <c r="C3" s="6">
        <v>3.43</v>
      </c>
      <c r="D3" s="6">
        <v>3.56</v>
      </c>
      <c r="E3" s="6">
        <v>3.52</v>
      </c>
      <c r="F3" s="5">
        <v>3.1</v>
      </c>
      <c r="G3" s="5">
        <v>3.03</v>
      </c>
    </row>
    <row r="4" spans="1:7" ht="15.75" x14ac:dyDescent="0.25">
      <c r="A4" s="3" t="s">
        <v>14</v>
      </c>
      <c r="B4" s="3" t="s">
        <v>17</v>
      </c>
      <c r="C4" s="6">
        <v>4.16</v>
      </c>
      <c r="D4" s="6">
        <v>4.28</v>
      </c>
      <c r="E4" s="5">
        <v>4.3</v>
      </c>
      <c r="F4" s="5">
        <v>4.2</v>
      </c>
      <c r="G4" s="5">
        <v>4.09</v>
      </c>
    </row>
    <row r="5" spans="1:7" ht="15.75" x14ac:dyDescent="0.25">
      <c r="A5" s="3" t="s">
        <v>14</v>
      </c>
      <c r="B5" s="3" t="s">
        <v>18</v>
      </c>
      <c r="C5" s="6">
        <v>4.51</v>
      </c>
      <c r="D5" s="6">
        <v>4.9400000000000004</v>
      </c>
      <c r="E5" s="6">
        <v>4.9000000000000004</v>
      </c>
      <c r="F5" s="6">
        <v>4.68</v>
      </c>
      <c r="G5" s="6">
        <v>4.63</v>
      </c>
    </row>
    <row r="6" spans="1:7" ht="15.75" x14ac:dyDescent="0.25">
      <c r="A6" s="3" t="s">
        <v>14</v>
      </c>
      <c r="B6" s="3" t="s">
        <v>19</v>
      </c>
      <c r="C6" s="6">
        <v>4.25</v>
      </c>
      <c r="D6" s="6">
        <v>4.3099999999999996</v>
      </c>
      <c r="E6" s="6">
        <v>4.22</v>
      </c>
      <c r="F6" s="6">
        <v>4.09</v>
      </c>
      <c r="G6" s="6">
        <v>3.94</v>
      </c>
    </row>
    <row r="7" spans="1:7" ht="15.75" x14ac:dyDescent="0.25">
      <c r="A7" s="3" t="s">
        <v>14</v>
      </c>
      <c r="B7" s="3" t="s">
        <v>20</v>
      </c>
      <c r="C7" s="6">
        <v>6.78</v>
      </c>
      <c r="D7" s="6">
        <v>7.24</v>
      </c>
      <c r="E7" s="6">
        <v>7.24</v>
      </c>
      <c r="F7" s="6">
        <v>6.78</v>
      </c>
      <c r="G7" s="6">
        <v>6.44</v>
      </c>
    </row>
    <row r="8" spans="1:7" ht="15.75" x14ac:dyDescent="0.25">
      <c r="A8" s="3" t="s">
        <v>21</v>
      </c>
      <c r="B8" s="3" t="s">
        <v>22</v>
      </c>
      <c r="C8" s="6">
        <v>7.69</v>
      </c>
      <c r="D8" s="6">
        <v>8.1300000000000008</v>
      </c>
      <c r="E8" s="6">
        <v>7.73</v>
      </c>
      <c r="F8" s="6">
        <v>7.27</v>
      </c>
      <c r="G8" s="5">
        <v>7.05</v>
      </c>
    </row>
    <row r="9" spans="1:7" ht="15.75" x14ac:dyDescent="0.25">
      <c r="A9" s="3" t="s">
        <v>21</v>
      </c>
      <c r="B9" s="3" t="s">
        <v>23</v>
      </c>
      <c r="C9" s="6">
        <v>7.09</v>
      </c>
      <c r="D9" s="6">
        <v>7.7</v>
      </c>
      <c r="E9" s="6">
        <v>7.34</v>
      </c>
      <c r="F9" s="6">
        <v>7.01</v>
      </c>
      <c r="G9" s="6">
        <v>6.87</v>
      </c>
    </row>
    <row r="10" spans="1:7" ht="15.75" x14ac:dyDescent="0.25">
      <c r="A10" s="3" t="s">
        <v>21</v>
      </c>
      <c r="B10" s="3" t="s">
        <v>24</v>
      </c>
      <c r="C10" s="6">
        <v>10.36</v>
      </c>
      <c r="D10" s="6">
        <v>11.18</v>
      </c>
      <c r="E10" s="6">
        <v>10.55</v>
      </c>
      <c r="F10" s="6">
        <v>10.220000000000001</v>
      </c>
      <c r="G10" s="6">
        <v>10.14</v>
      </c>
    </row>
    <row r="11" spans="1:7" ht="15.75" x14ac:dyDescent="0.25">
      <c r="A11" s="3" t="s">
        <v>21</v>
      </c>
      <c r="B11" s="3" t="s">
        <v>25</v>
      </c>
      <c r="C11" s="6">
        <v>6.91</v>
      </c>
      <c r="D11" s="6">
        <v>7.15</v>
      </c>
      <c r="E11" s="6">
        <v>6.8</v>
      </c>
      <c r="F11" s="6">
        <v>6.4</v>
      </c>
      <c r="G11" s="6">
        <v>6.19</v>
      </c>
    </row>
    <row r="12" spans="1:7" ht="15.75" x14ac:dyDescent="0.25">
      <c r="A12" s="3" t="s">
        <v>21</v>
      </c>
      <c r="B12" s="3" t="s">
        <v>26</v>
      </c>
      <c r="C12" s="6">
        <v>9.98</v>
      </c>
      <c r="D12" s="6">
        <v>10.65</v>
      </c>
      <c r="E12" s="6">
        <v>10.42</v>
      </c>
      <c r="F12" s="6">
        <v>9.77</v>
      </c>
      <c r="G12" s="6">
        <v>9.68</v>
      </c>
    </row>
    <row r="13" spans="1:7" ht="15.75" x14ac:dyDescent="0.25">
      <c r="A13" s="3" t="s">
        <v>21</v>
      </c>
      <c r="B13" s="3" t="s">
        <v>27</v>
      </c>
      <c r="C13" s="6">
        <v>10.34</v>
      </c>
      <c r="D13" s="6">
        <v>11.15</v>
      </c>
      <c r="E13" s="6">
        <v>10.73</v>
      </c>
      <c r="F13" s="6">
        <v>10.28</v>
      </c>
      <c r="G13" s="6">
        <v>10.23</v>
      </c>
    </row>
    <row r="14" spans="1:7" ht="15.75" x14ac:dyDescent="0.25">
      <c r="A14" s="3" t="s">
        <v>21</v>
      </c>
      <c r="B14" s="3" t="s">
        <v>28</v>
      </c>
      <c r="C14" s="6">
        <v>7.62</v>
      </c>
      <c r="D14" s="6">
        <v>7.97</v>
      </c>
      <c r="E14" s="6">
        <v>7.72</v>
      </c>
      <c r="F14" s="6">
        <v>7.42</v>
      </c>
      <c r="G14" s="6">
        <v>7.39</v>
      </c>
    </row>
    <row r="15" spans="1:7" ht="15.75" x14ac:dyDescent="0.25">
      <c r="A15" s="3" t="s">
        <v>21</v>
      </c>
      <c r="B15" s="3" t="s">
        <v>29</v>
      </c>
      <c r="C15" s="6">
        <v>12.82</v>
      </c>
      <c r="D15" s="6">
        <v>13.1</v>
      </c>
      <c r="E15" s="6">
        <v>12.76</v>
      </c>
      <c r="F15" s="6">
        <v>12.12</v>
      </c>
      <c r="G15" s="6">
        <v>11.88</v>
      </c>
    </row>
    <row r="16" spans="1:7" ht="15.75" x14ac:dyDescent="0.25">
      <c r="A16" s="3" t="s">
        <v>21</v>
      </c>
      <c r="B16" s="3" t="s">
        <v>30</v>
      </c>
      <c r="C16" s="6">
        <v>11.24</v>
      </c>
      <c r="D16" s="6">
        <v>12.3</v>
      </c>
      <c r="E16" s="6">
        <v>12.01</v>
      </c>
      <c r="F16" s="6">
        <v>11.2</v>
      </c>
      <c r="G16" s="6">
        <v>11</v>
      </c>
    </row>
    <row r="17" spans="1:7" ht="15.75" x14ac:dyDescent="0.25">
      <c r="A17" s="3" t="s">
        <v>21</v>
      </c>
      <c r="B17" s="3" t="s">
        <v>31</v>
      </c>
      <c r="C17" s="6">
        <v>11.43</v>
      </c>
      <c r="D17" s="6">
        <v>12.33</v>
      </c>
      <c r="E17" s="6">
        <v>11.94</v>
      </c>
      <c r="F17" s="6">
        <v>11.21</v>
      </c>
      <c r="G17" s="6">
        <v>10.82</v>
      </c>
    </row>
    <row r="18" spans="1:7" ht="15.75" x14ac:dyDescent="0.25">
      <c r="A18" s="3" t="s">
        <v>21</v>
      </c>
      <c r="B18" s="3" t="s">
        <v>32</v>
      </c>
      <c r="C18" s="6">
        <v>10.26</v>
      </c>
      <c r="D18" s="6">
        <v>10.71</v>
      </c>
      <c r="E18" s="6">
        <v>10.14</v>
      </c>
      <c r="F18" s="6">
        <v>9.36</v>
      </c>
      <c r="G18" s="5">
        <v>9.1</v>
      </c>
    </row>
    <row r="19" spans="1:7" ht="15.75" x14ac:dyDescent="0.25">
      <c r="A19" s="3" t="s">
        <v>21</v>
      </c>
      <c r="B19" s="3" t="s">
        <v>33</v>
      </c>
      <c r="C19" s="6">
        <v>12.7</v>
      </c>
      <c r="D19" s="6">
        <v>13.04</v>
      </c>
      <c r="E19" s="6">
        <v>12.77</v>
      </c>
      <c r="F19" s="6">
        <v>12.13</v>
      </c>
      <c r="G19" s="6">
        <v>11.93</v>
      </c>
    </row>
    <row r="20" spans="1:7" ht="15.75" x14ac:dyDescent="0.25">
      <c r="A20" s="3" t="s">
        <v>21</v>
      </c>
      <c r="B20" s="3" t="s">
        <v>34</v>
      </c>
      <c r="C20" s="6">
        <v>9.31</v>
      </c>
      <c r="D20" s="6">
        <v>10.029999999999999</v>
      </c>
      <c r="E20" s="6">
        <v>9.75</v>
      </c>
      <c r="F20" s="6">
        <v>9.52</v>
      </c>
      <c r="G20" s="6">
        <v>9.49</v>
      </c>
    </row>
    <row r="21" spans="1:7" ht="15.75" x14ac:dyDescent="0.25">
      <c r="A21" s="3" t="s">
        <v>21</v>
      </c>
      <c r="B21" s="3" t="s">
        <v>35</v>
      </c>
      <c r="C21" s="6">
        <v>8.27</v>
      </c>
      <c r="D21" s="6">
        <v>8.83</v>
      </c>
      <c r="E21" s="6">
        <v>8.6999999999999993</v>
      </c>
      <c r="F21" s="6">
        <v>8.4600000000000009</v>
      </c>
      <c r="G21" s="6">
        <v>8.41</v>
      </c>
    </row>
    <row r="22" spans="1:7" ht="15.75" x14ac:dyDescent="0.25">
      <c r="A22" s="3" t="s">
        <v>21</v>
      </c>
      <c r="B22" s="3" t="s">
        <v>36</v>
      </c>
      <c r="C22" s="6">
        <v>8.26</v>
      </c>
      <c r="D22" s="6">
        <v>8.9499999999999993</v>
      </c>
      <c r="E22" s="6">
        <v>8.44</v>
      </c>
      <c r="F22" s="6">
        <v>7.87</v>
      </c>
      <c r="G22" s="6">
        <v>7.86</v>
      </c>
    </row>
    <row r="23" spans="1:7" ht="15.75" x14ac:dyDescent="0.25">
      <c r="A23" s="3" t="s">
        <v>21</v>
      </c>
      <c r="B23" s="3" t="s">
        <v>37</v>
      </c>
      <c r="C23" s="6">
        <v>4.82</v>
      </c>
      <c r="D23" s="6">
        <v>5.21</v>
      </c>
      <c r="E23" s="6">
        <v>5.01</v>
      </c>
      <c r="F23" s="6">
        <v>4.93</v>
      </c>
      <c r="G23" s="5">
        <v>4.8</v>
      </c>
    </row>
    <row r="24" spans="1:7" ht="15.75" x14ac:dyDescent="0.25">
      <c r="A24" s="3" t="s">
        <v>21</v>
      </c>
      <c r="B24" s="3" t="s">
        <v>38</v>
      </c>
      <c r="C24" s="6">
        <v>10.49</v>
      </c>
      <c r="D24" s="6">
        <v>11.3</v>
      </c>
      <c r="E24" s="6">
        <v>10.82</v>
      </c>
      <c r="F24" s="6">
        <v>10.52</v>
      </c>
      <c r="G24" s="6">
        <v>10.49</v>
      </c>
    </row>
    <row r="25" spans="1:7" ht="15.75" x14ac:dyDescent="0.25">
      <c r="A25" s="3" t="s">
        <v>21</v>
      </c>
      <c r="B25" s="3" t="s">
        <v>39</v>
      </c>
      <c r="C25" s="6">
        <v>8.99</v>
      </c>
      <c r="D25" s="6">
        <v>9.65</v>
      </c>
      <c r="E25" s="6">
        <v>9.32</v>
      </c>
      <c r="F25" s="6">
        <v>8.98</v>
      </c>
      <c r="G25" s="6">
        <v>8.75</v>
      </c>
    </row>
    <row r="26" spans="1:7" ht="15.75" x14ac:dyDescent="0.25">
      <c r="A26" s="3" t="s">
        <v>21</v>
      </c>
      <c r="B26" s="3" t="s">
        <v>40</v>
      </c>
      <c r="C26" s="6">
        <v>6.68</v>
      </c>
      <c r="D26" s="6">
        <v>7.24</v>
      </c>
      <c r="E26" s="6">
        <v>7.1</v>
      </c>
      <c r="F26" s="6">
        <v>6.67</v>
      </c>
      <c r="G26" s="6">
        <v>6.53</v>
      </c>
    </row>
    <row r="27" spans="1:7" ht="15.75" x14ac:dyDescent="0.25">
      <c r="A27" s="3" t="s">
        <v>21</v>
      </c>
      <c r="B27" s="3" t="s">
        <v>41</v>
      </c>
      <c r="C27" s="5">
        <v>7.7</v>
      </c>
      <c r="D27" s="6">
        <v>8.25</v>
      </c>
      <c r="E27" s="5">
        <v>8.02</v>
      </c>
      <c r="F27" s="5">
        <v>7.5</v>
      </c>
      <c r="G27" s="5">
        <v>7.2</v>
      </c>
    </row>
    <row r="28" spans="1:7" ht="15.75" x14ac:dyDescent="0.25">
      <c r="A28" s="3" t="s">
        <v>21</v>
      </c>
      <c r="B28" s="3" t="s">
        <v>42</v>
      </c>
      <c r="C28" s="6">
        <v>3.99</v>
      </c>
      <c r="D28" s="6">
        <v>4.37</v>
      </c>
      <c r="E28" s="6">
        <v>4.25</v>
      </c>
      <c r="F28" s="6">
        <v>3.96</v>
      </c>
      <c r="G28" s="6">
        <v>3.87</v>
      </c>
    </row>
    <row r="29" spans="1:7" ht="15.75" x14ac:dyDescent="0.25">
      <c r="A29" s="3" t="s">
        <v>21</v>
      </c>
      <c r="B29" s="3" t="s">
        <v>43</v>
      </c>
      <c r="C29" s="6">
        <v>9.52</v>
      </c>
      <c r="D29" s="6">
        <v>10.029999999999999</v>
      </c>
      <c r="E29" s="6">
        <v>9.82</v>
      </c>
      <c r="F29" s="6">
        <v>9.16</v>
      </c>
      <c r="G29" s="5">
        <v>9.02</v>
      </c>
    </row>
    <row r="30" spans="1:7" ht="15.75" x14ac:dyDescent="0.25">
      <c r="A30" s="3" t="s">
        <v>21</v>
      </c>
      <c r="B30" s="3" t="s">
        <v>44</v>
      </c>
      <c r="C30" s="6">
        <v>4.38</v>
      </c>
      <c r="D30" s="6">
        <v>4.74</v>
      </c>
      <c r="E30" s="6">
        <v>4.43</v>
      </c>
      <c r="F30" s="5">
        <v>4.0999999999999996</v>
      </c>
      <c r="G30" s="5">
        <v>4.01</v>
      </c>
    </row>
    <row r="31" spans="1:7" ht="15.75" x14ac:dyDescent="0.25">
      <c r="A31" s="3" t="s">
        <v>21</v>
      </c>
      <c r="B31" s="3" t="s">
        <v>45</v>
      </c>
      <c r="C31" s="6">
        <v>2.4500000000000002</v>
      </c>
      <c r="D31" s="6">
        <v>2.58</v>
      </c>
      <c r="E31" s="6">
        <v>2.5299999999999998</v>
      </c>
      <c r="F31" s="6">
        <v>2.38</v>
      </c>
      <c r="G31" s="6">
        <v>2.34</v>
      </c>
    </row>
    <row r="32" spans="1:7" ht="15.75" x14ac:dyDescent="0.25">
      <c r="A32" s="3" t="s">
        <v>21</v>
      </c>
      <c r="B32" s="3" t="s">
        <v>46</v>
      </c>
      <c r="C32" s="6">
        <v>5.1100000000000003</v>
      </c>
      <c r="D32" s="6">
        <v>5.35</v>
      </c>
      <c r="E32" s="6">
        <v>5.1100000000000003</v>
      </c>
      <c r="F32" s="6">
        <v>4.66</v>
      </c>
      <c r="G32" s="6">
        <v>4.3899999999999997</v>
      </c>
    </row>
    <row r="33" spans="1:13" ht="15.75" x14ac:dyDescent="0.25">
      <c r="A33" s="3" t="s">
        <v>21</v>
      </c>
      <c r="B33" s="3" t="s">
        <v>47</v>
      </c>
      <c r="C33" s="6">
        <v>12.97</v>
      </c>
      <c r="D33" s="6">
        <v>13.13</v>
      </c>
      <c r="E33" s="6">
        <v>12.72</v>
      </c>
      <c r="F33" s="6">
        <v>11.53</v>
      </c>
      <c r="G33" s="5">
        <v>11.1</v>
      </c>
    </row>
    <row r="34" spans="1:13" ht="15.75" x14ac:dyDescent="0.25">
      <c r="A34" s="3" t="s">
        <v>21</v>
      </c>
      <c r="B34" s="3" t="s">
        <v>48</v>
      </c>
      <c r="C34" s="6">
        <v>6.09</v>
      </c>
      <c r="D34" s="6">
        <v>7.11</v>
      </c>
      <c r="E34" s="6">
        <v>6.73</v>
      </c>
      <c r="F34" s="6">
        <v>6.14</v>
      </c>
      <c r="G34" s="6">
        <v>5.85</v>
      </c>
    </row>
    <row r="35" spans="1:13" ht="15.75" x14ac:dyDescent="0.25">
      <c r="A35" s="3" t="s">
        <v>49</v>
      </c>
      <c r="B35" s="3" t="s">
        <v>50</v>
      </c>
      <c r="C35" s="6">
        <v>9.92</v>
      </c>
      <c r="D35" s="6">
        <v>10.72</v>
      </c>
      <c r="E35" s="6">
        <v>9.32</v>
      </c>
      <c r="F35" s="6">
        <v>9.27</v>
      </c>
      <c r="G35" s="6">
        <v>9.18</v>
      </c>
    </row>
    <row r="36" spans="1:13" ht="15.75" x14ac:dyDescent="0.25">
      <c r="A36" s="3" t="s">
        <v>49</v>
      </c>
      <c r="B36" s="3" t="s">
        <v>51</v>
      </c>
      <c r="C36" s="6">
        <v>9.24</v>
      </c>
      <c r="D36" s="6">
        <v>10.29</v>
      </c>
      <c r="E36" s="6">
        <v>8.91</v>
      </c>
      <c r="F36" s="6">
        <v>8.68</v>
      </c>
      <c r="G36" s="6">
        <v>8.44</v>
      </c>
    </row>
    <row r="37" spans="1:13" ht="15.75" x14ac:dyDescent="0.25">
      <c r="A37" s="3" t="s">
        <v>49</v>
      </c>
      <c r="B37" s="3" t="s">
        <v>52</v>
      </c>
      <c r="C37" s="6">
        <v>6.23</v>
      </c>
      <c r="D37" s="6">
        <v>7.12</v>
      </c>
      <c r="E37" s="6">
        <v>6.92</v>
      </c>
      <c r="F37" s="6">
        <v>6.93</v>
      </c>
      <c r="G37" s="6">
        <v>6.55</v>
      </c>
    </row>
    <row r="38" spans="1:13" ht="15.75" x14ac:dyDescent="0.25">
      <c r="A38" s="3" t="s">
        <v>49</v>
      </c>
      <c r="B38" s="3" t="s">
        <v>53</v>
      </c>
      <c r="C38" s="6">
        <v>4.9400000000000004</v>
      </c>
      <c r="D38" s="6">
        <v>5.49</v>
      </c>
      <c r="E38" s="6">
        <v>4.96</v>
      </c>
      <c r="F38" s="6">
        <v>4.8499999999999996</v>
      </c>
      <c r="G38" s="6">
        <v>4.51</v>
      </c>
    </row>
    <row r="39" spans="1:13" ht="15.75" x14ac:dyDescent="0.25">
      <c r="A39" s="3" t="s">
        <v>49</v>
      </c>
      <c r="B39" s="3" t="s">
        <v>54</v>
      </c>
      <c r="C39" s="6">
        <v>5.22</v>
      </c>
      <c r="D39" s="6">
        <v>5.93</v>
      </c>
      <c r="E39" s="6">
        <v>5.77</v>
      </c>
      <c r="F39" s="6">
        <v>5.89</v>
      </c>
      <c r="G39" s="6">
        <v>5.43</v>
      </c>
    </row>
    <row r="40" spans="1:13" ht="15.75" x14ac:dyDescent="0.25">
      <c r="A40" s="3" t="s">
        <v>49</v>
      </c>
      <c r="B40" s="3" t="s">
        <v>55</v>
      </c>
      <c r="C40" s="6">
        <v>3.69</v>
      </c>
      <c r="D40" s="6">
        <v>4.24</v>
      </c>
      <c r="E40" s="6">
        <v>3.64</v>
      </c>
      <c r="F40" s="6">
        <v>3.98</v>
      </c>
      <c r="G40" s="6">
        <v>3.75</v>
      </c>
    </row>
    <row r="41" spans="1:13" ht="15.75" x14ac:dyDescent="0.25">
      <c r="A41" s="3" t="s">
        <v>49</v>
      </c>
      <c r="B41" s="3" t="s">
        <v>56</v>
      </c>
      <c r="C41" s="6">
        <v>6.06</v>
      </c>
      <c r="D41" s="6">
        <v>6.79</v>
      </c>
      <c r="E41" s="6">
        <v>5.94</v>
      </c>
      <c r="F41" s="6">
        <v>6.2</v>
      </c>
      <c r="G41" s="6">
        <v>5.65</v>
      </c>
    </row>
    <row r="42" spans="1:13" ht="15.75" x14ac:dyDescent="0.25">
      <c r="A42" s="3" t="s">
        <v>49</v>
      </c>
      <c r="B42" s="3" t="s">
        <v>57</v>
      </c>
      <c r="C42" s="6">
        <v>2.29</v>
      </c>
      <c r="D42" s="6">
        <v>2.57</v>
      </c>
      <c r="E42" s="6">
        <v>2.5</v>
      </c>
      <c r="F42" s="6">
        <v>2.57</v>
      </c>
      <c r="G42" s="6">
        <v>2.36</v>
      </c>
    </row>
    <row r="43" spans="1:13" x14ac:dyDescent="0.2">
      <c r="H43" t="s">
        <v>61</v>
      </c>
      <c r="I43">
        <f>MIN(C2:C42)</f>
        <v>2.29</v>
      </c>
      <c r="J43">
        <f t="shared" ref="J43:M43" si="0">MIN(D2:D42)</f>
        <v>2.57</v>
      </c>
      <c r="K43">
        <f t="shared" si="0"/>
        <v>2.5</v>
      </c>
      <c r="L43">
        <f t="shared" si="0"/>
        <v>2.38</v>
      </c>
      <c r="M43">
        <f t="shared" si="0"/>
        <v>2.34</v>
      </c>
    </row>
    <row r="44" spans="1:13" x14ac:dyDescent="0.2">
      <c r="H44" t="s">
        <v>59</v>
      </c>
      <c r="I44">
        <f>AVERAGE(C2:C42)</f>
        <v>7.635609756097562</v>
      </c>
      <c r="J44">
        <f t="shared" ref="J44:M44" si="1">AVERAGE(D2:D42)</f>
        <v>8.1639024390243957</v>
      </c>
      <c r="K44">
        <f t="shared" si="1"/>
        <v>7.8026829268292692</v>
      </c>
      <c r="L44">
        <f t="shared" si="1"/>
        <v>7.4419512195121955</v>
      </c>
      <c r="M44">
        <f t="shared" si="1"/>
        <v>7.2541463414634153</v>
      </c>
    </row>
    <row r="45" spans="1:13" x14ac:dyDescent="0.2">
      <c r="H45" t="s">
        <v>60</v>
      </c>
      <c r="I45">
        <f>MAX(C2:C42)</f>
        <v>14.87</v>
      </c>
      <c r="J45">
        <f t="shared" ref="J45:M45" si="2">MAX(D2:D42)</f>
        <v>15.06</v>
      </c>
      <c r="K45">
        <f t="shared" si="2"/>
        <v>14.11</v>
      </c>
      <c r="L45">
        <f t="shared" si="2"/>
        <v>13.13</v>
      </c>
      <c r="M45">
        <f t="shared" si="2"/>
        <v>13.03</v>
      </c>
    </row>
  </sheetData>
  <pageMargins left="0.7" right="0.7" top="0.75" bottom="0.75" header="0.3" footer="0.3"/>
  <ignoredErrors>
    <ignoredError sqref="I43:M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0ACE-AD27-41C5-A066-C129E2489482}">
  <dimension ref="A1:M45"/>
  <sheetViews>
    <sheetView workbookViewId="0">
      <selection activeCell="G5" sqref="G5"/>
    </sheetView>
  </sheetViews>
  <sheetFormatPr defaultRowHeight="12.75" x14ac:dyDescent="0.2"/>
  <cols>
    <col min="2" max="2" width="18.28515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.75" x14ac:dyDescent="0.25">
      <c r="A2" s="3" t="s">
        <v>14</v>
      </c>
      <c r="B2" s="3" t="s">
        <v>15</v>
      </c>
      <c r="C2" s="6">
        <v>3706.25</v>
      </c>
      <c r="D2" s="6">
        <v>3648.88</v>
      </c>
      <c r="E2" s="6">
        <v>3586.89</v>
      </c>
      <c r="F2" s="6">
        <v>3305.13</v>
      </c>
      <c r="G2" s="5">
        <v>3268.5</v>
      </c>
    </row>
    <row r="3" spans="1:7" ht="15.75" x14ac:dyDescent="0.25">
      <c r="A3" s="3" t="s">
        <v>14</v>
      </c>
      <c r="B3" s="3" t="s">
        <v>16</v>
      </c>
      <c r="C3" s="6">
        <v>419257.19</v>
      </c>
      <c r="D3" s="6">
        <v>429278</v>
      </c>
      <c r="E3" s="6">
        <v>451772.7</v>
      </c>
      <c r="F3" s="6">
        <v>475806.2</v>
      </c>
      <c r="G3" s="6">
        <v>500422.7</v>
      </c>
    </row>
    <row r="4" spans="1:7" ht="15.75" x14ac:dyDescent="0.25">
      <c r="A4" s="3" t="s">
        <v>14</v>
      </c>
      <c r="B4" s="3" t="s">
        <v>17</v>
      </c>
      <c r="C4" s="6">
        <v>299515.15999999997</v>
      </c>
      <c r="D4" s="6">
        <v>313816.5</v>
      </c>
      <c r="E4" s="6">
        <v>329546.3</v>
      </c>
      <c r="F4" s="6">
        <v>346508.7</v>
      </c>
      <c r="G4" s="6">
        <v>362068.1</v>
      </c>
    </row>
    <row r="5" spans="1:7" ht="15.75" x14ac:dyDescent="0.25">
      <c r="A5" s="3" t="s">
        <v>14</v>
      </c>
      <c r="B5" s="3" t="s">
        <v>18</v>
      </c>
      <c r="C5" s="6">
        <v>449518.14</v>
      </c>
      <c r="D5" s="6">
        <v>460024.3</v>
      </c>
      <c r="E5" s="6">
        <v>481954.5</v>
      </c>
      <c r="F5" s="6">
        <v>506560.7</v>
      </c>
      <c r="G5" s="6">
        <v>532606.9</v>
      </c>
    </row>
    <row r="6" spans="1:7" ht="15.75" x14ac:dyDescent="0.25">
      <c r="A6" s="3" t="s">
        <v>14</v>
      </c>
      <c r="B6" s="3" t="s">
        <v>19</v>
      </c>
      <c r="C6" s="6">
        <v>316172.61</v>
      </c>
      <c r="D6" s="6">
        <v>327613.09999999998</v>
      </c>
      <c r="E6" s="6">
        <v>345619.6</v>
      </c>
      <c r="F6" s="6">
        <v>363931.2</v>
      </c>
      <c r="G6" s="6">
        <v>383113.1</v>
      </c>
    </row>
    <row r="7" spans="1:7" ht="15.75" x14ac:dyDescent="0.25">
      <c r="A7" s="3" t="s">
        <v>14</v>
      </c>
      <c r="B7" s="3" t="s">
        <v>20</v>
      </c>
      <c r="C7" s="6">
        <v>312100.58</v>
      </c>
      <c r="D7" s="6">
        <v>330883.90000000002</v>
      </c>
      <c r="E7" s="6">
        <v>350233.7</v>
      </c>
      <c r="F7" s="6">
        <v>364823.9</v>
      </c>
      <c r="G7" s="6">
        <v>380461.1</v>
      </c>
    </row>
    <row r="8" spans="1:7" ht="15.75" x14ac:dyDescent="0.25">
      <c r="A8" s="3" t="s">
        <v>21</v>
      </c>
      <c r="B8" s="3" t="s">
        <v>22</v>
      </c>
      <c r="C8" s="6">
        <v>154113.60000000001</v>
      </c>
      <c r="D8" s="6">
        <v>159589.6</v>
      </c>
      <c r="E8" s="6">
        <v>167966.2</v>
      </c>
      <c r="F8" s="6">
        <v>176683.6</v>
      </c>
      <c r="G8" s="6">
        <v>185882.3</v>
      </c>
    </row>
    <row r="9" spans="1:7" ht="15.75" x14ac:dyDescent="0.25">
      <c r="A9" s="3" t="s">
        <v>21</v>
      </c>
      <c r="B9" s="3" t="s">
        <v>23</v>
      </c>
      <c r="C9" s="6">
        <v>46205.279999999999</v>
      </c>
      <c r="D9" s="6">
        <v>47935.63</v>
      </c>
      <c r="E9" s="6">
        <v>50388.72</v>
      </c>
      <c r="F9" s="6">
        <v>52993.98</v>
      </c>
      <c r="G9" s="6">
        <v>55723.92</v>
      </c>
    </row>
    <row r="10" spans="1:7" ht="15.75" x14ac:dyDescent="0.25">
      <c r="A10" s="3" t="s">
        <v>21</v>
      </c>
      <c r="B10" s="3" t="s">
        <v>24</v>
      </c>
      <c r="C10" s="6">
        <v>31792.32</v>
      </c>
      <c r="D10" s="6">
        <v>32897.53</v>
      </c>
      <c r="E10" s="6">
        <v>34556.400000000001</v>
      </c>
      <c r="F10" s="6">
        <v>36339.550000000003</v>
      </c>
      <c r="G10" s="6">
        <v>38208.18</v>
      </c>
    </row>
    <row r="11" spans="1:7" ht="15.75" x14ac:dyDescent="0.25">
      <c r="A11" s="3" t="s">
        <v>21</v>
      </c>
      <c r="B11" s="3" t="s">
        <v>25</v>
      </c>
      <c r="C11" s="6">
        <v>81060.97</v>
      </c>
      <c r="D11" s="6">
        <v>83949.37</v>
      </c>
      <c r="E11" s="6">
        <v>88437.96</v>
      </c>
      <c r="F11" s="6">
        <v>92830.17</v>
      </c>
      <c r="G11" s="6">
        <v>97509.91</v>
      </c>
    </row>
    <row r="12" spans="1:7" ht="15.75" x14ac:dyDescent="0.25">
      <c r="A12" s="3" t="s">
        <v>21</v>
      </c>
      <c r="B12" s="3" t="s">
        <v>26</v>
      </c>
      <c r="C12" s="6">
        <v>38598.43</v>
      </c>
      <c r="D12" s="6">
        <v>39981.19</v>
      </c>
      <c r="E12" s="6">
        <v>42012.959999999999</v>
      </c>
      <c r="F12" s="6">
        <v>44087.22</v>
      </c>
      <c r="G12" s="6">
        <v>46270.92</v>
      </c>
    </row>
    <row r="13" spans="1:7" ht="15.75" x14ac:dyDescent="0.25">
      <c r="A13" s="3" t="s">
        <v>21</v>
      </c>
      <c r="B13" s="3" t="s">
        <v>27</v>
      </c>
      <c r="C13" s="6">
        <v>24344.86</v>
      </c>
      <c r="D13" s="6">
        <v>25179.48</v>
      </c>
      <c r="E13" s="6">
        <v>26361.66</v>
      </c>
      <c r="F13" s="6">
        <v>27599.16</v>
      </c>
      <c r="G13" s="6">
        <v>28879.68</v>
      </c>
    </row>
    <row r="14" spans="1:7" ht="15.75" x14ac:dyDescent="0.25">
      <c r="A14" s="3" t="s">
        <v>21</v>
      </c>
      <c r="B14" s="3" t="s">
        <v>28</v>
      </c>
      <c r="C14" s="6">
        <v>21970.41</v>
      </c>
      <c r="D14" s="6">
        <v>22774.93</v>
      </c>
      <c r="E14" s="6">
        <v>23918.89</v>
      </c>
      <c r="F14" s="6">
        <v>25111.71</v>
      </c>
      <c r="G14" s="6">
        <v>26360.94</v>
      </c>
    </row>
    <row r="15" spans="1:7" ht="15.75" x14ac:dyDescent="0.25">
      <c r="A15" s="3" t="s">
        <v>21</v>
      </c>
      <c r="B15" s="3" t="s">
        <v>29</v>
      </c>
      <c r="C15" s="6">
        <v>16882.759999999998</v>
      </c>
      <c r="D15" s="6">
        <v>17483.560000000001</v>
      </c>
      <c r="E15" s="6">
        <v>18450.34</v>
      </c>
      <c r="F15" s="6">
        <v>19418.73</v>
      </c>
      <c r="G15" s="6">
        <v>20507.27</v>
      </c>
    </row>
    <row r="16" spans="1:7" ht="15.75" x14ac:dyDescent="0.25">
      <c r="A16" s="3" t="s">
        <v>21</v>
      </c>
      <c r="B16" s="3" t="s">
        <v>30</v>
      </c>
      <c r="C16" s="6">
        <v>33304.050000000003</v>
      </c>
      <c r="D16" s="6">
        <v>34127.519999999997</v>
      </c>
      <c r="E16" s="6">
        <v>35523.78</v>
      </c>
      <c r="F16" s="6">
        <v>37246.57</v>
      </c>
      <c r="G16" s="6">
        <v>39418.269999999997</v>
      </c>
    </row>
    <row r="17" spans="1:7" ht="15.75" x14ac:dyDescent="0.25">
      <c r="A17" s="3" t="s">
        <v>21</v>
      </c>
      <c r="B17" s="3" t="s">
        <v>31</v>
      </c>
      <c r="C17" s="6">
        <v>21754.54</v>
      </c>
      <c r="D17" s="6">
        <v>22788.75</v>
      </c>
      <c r="E17" s="6">
        <v>24298.1</v>
      </c>
      <c r="F17" s="6">
        <v>25793.24</v>
      </c>
      <c r="G17" s="6">
        <v>27438.93</v>
      </c>
    </row>
    <row r="18" spans="1:7" ht="15.75" x14ac:dyDescent="0.25">
      <c r="A18" s="3" t="s">
        <v>21</v>
      </c>
      <c r="B18" s="3" t="s">
        <v>32</v>
      </c>
      <c r="C18" s="6">
        <v>23665.01</v>
      </c>
      <c r="D18" s="6">
        <v>24414.66</v>
      </c>
      <c r="E18" s="6">
        <v>25595.02</v>
      </c>
      <c r="F18" s="6">
        <v>26876.86</v>
      </c>
      <c r="G18" s="6">
        <v>27965.759999999998</v>
      </c>
    </row>
    <row r="19" spans="1:7" ht="15.75" x14ac:dyDescent="0.25">
      <c r="A19" s="3" t="s">
        <v>21</v>
      </c>
      <c r="B19" s="3" t="s">
        <v>33</v>
      </c>
      <c r="C19" s="6">
        <v>59200</v>
      </c>
      <c r="D19" s="6">
        <v>59544.87</v>
      </c>
      <c r="E19" s="6">
        <v>61259.61</v>
      </c>
      <c r="F19" s="6">
        <v>67237.69</v>
      </c>
      <c r="G19" s="6">
        <v>68701.960000000006</v>
      </c>
    </row>
    <row r="20" spans="1:7" ht="15.75" x14ac:dyDescent="0.25">
      <c r="A20" s="3" t="s">
        <v>21</v>
      </c>
      <c r="B20" s="3" t="s">
        <v>34</v>
      </c>
      <c r="C20" s="6">
        <v>28344.32</v>
      </c>
      <c r="D20" s="6">
        <v>28960.89</v>
      </c>
      <c r="E20" s="6">
        <v>30202.58</v>
      </c>
      <c r="F20" s="6">
        <v>31604.98</v>
      </c>
      <c r="G20" s="6">
        <v>33126.46</v>
      </c>
    </row>
    <row r="21" spans="1:7" ht="15.75" x14ac:dyDescent="0.25">
      <c r="A21" s="3" t="s">
        <v>21</v>
      </c>
      <c r="B21" s="3" t="s">
        <v>35</v>
      </c>
      <c r="C21" s="6">
        <v>45293.24</v>
      </c>
      <c r="D21" s="6">
        <v>46840.15</v>
      </c>
      <c r="E21" s="6">
        <v>49292.98</v>
      </c>
      <c r="F21" s="6">
        <v>51740.5</v>
      </c>
      <c r="G21" s="6">
        <v>54142.29</v>
      </c>
    </row>
    <row r="22" spans="1:7" ht="15.75" x14ac:dyDescent="0.25">
      <c r="A22" s="3" t="s">
        <v>21</v>
      </c>
      <c r="B22" s="3" t="s">
        <v>36</v>
      </c>
      <c r="C22" s="6">
        <v>157710.59</v>
      </c>
      <c r="D22" s="6">
        <v>166941.5</v>
      </c>
      <c r="E22" s="6">
        <v>177470.9</v>
      </c>
      <c r="F22" s="6">
        <v>187051.7</v>
      </c>
      <c r="G22" s="6">
        <v>194903.1</v>
      </c>
    </row>
    <row r="23" spans="1:7" ht="15.75" x14ac:dyDescent="0.25">
      <c r="A23" s="3" t="s">
        <v>21</v>
      </c>
      <c r="B23" s="3" t="s">
        <v>37</v>
      </c>
      <c r="C23" s="6">
        <v>242971.39</v>
      </c>
      <c r="D23" s="6">
        <v>251778.5</v>
      </c>
      <c r="E23" s="6">
        <v>265120.5</v>
      </c>
      <c r="F23" s="6">
        <v>279224.90000000002</v>
      </c>
      <c r="G23" s="6">
        <v>293664.8</v>
      </c>
    </row>
    <row r="24" spans="1:7" ht="15.75" x14ac:dyDescent="0.25">
      <c r="A24" s="3" t="s">
        <v>21</v>
      </c>
      <c r="B24" s="3" t="s">
        <v>38</v>
      </c>
      <c r="C24" s="6">
        <v>30640.41</v>
      </c>
      <c r="D24" s="6">
        <v>31701.79</v>
      </c>
      <c r="E24" s="6">
        <v>33393.29</v>
      </c>
      <c r="F24" s="6">
        <v>35062.19</v>
      </c>
      <c r="G24" s="6">
        <v>36793.68</v>
      </c>
    </row>
    <row r="25" spans="1:7" ht="15.75" x14ac:dyDescent="0.25">
      <c r="A25" s="3" t="s">
        <v>21</v>
      </c>
      <c r="B25" s="3" t="s">
        <v>39</v>
      </c>
      <c r="C25" s="6">
        <v>7738.97</v>
      </c>
      <c r="D25" s="6">
        <v>8022.78</v>
      </c>
      <c r="E25" s="6">
        <v>2383665</v>
      </c>
      <c r="F25" s="6">
        <v>8869.86</v>
      </c>
      <c r="G25" s="6">
        <v>9324.31</v>
      </c>
    </row>
    <row r="26" spans="1:7" ht="15.75" x14ac:dyDescent="0.25">
      <c r="A26" s="3" t="s">
        <v>21</v>
      </c>
      <c r="B26" s="3" t="s">
        <v>40</v>
      </c>
      <c r="C26" s="6">
        <v>32162.74</v>
      </c>
      <c r="D26" s="6">
        <v>33372.480000000003</v>
      </c>
      <c r="E26" s="6">
        <v>35258.870000000003</v>
      </c>
      <c r="F26" s="6">
        <v>37055.360000000001</v>
      </c>
      <c r="G26" s="6">
        <v>38964.67</v>
      </c>
    </row>
    <row r="27" spans="1:7" ht="15.75" x14ac:dyDescent="0.25">
      <c r="A27" s="3" t="s">
        <v>21</v>
      </c>
      <c r="B27" s="3" t="s">
        <v>41</v>
      </c>
      <c r="C27" s="6">
        <v>8534.7199999999993</v>
      </c>
      <c r="D27" s="6">
        <v>2538923</v>
      </c>
      <c r="E27" s="6">
        <v>9324.16</v>
      </c>
      <c r="F27" s="6">
        <v>9801.8799999999992</v>
      </c>
      <c r="G27" s="6">
        <v>10303.16</v>
      </c>
    </row>
    <row r="28" spans="1:7" ht="15.75" x14ac:dyDescent="0.25">
      <c r="A28" s="3" t="s">
        <v>21</v>
      </c>
      <c r="B28" s="3" t="s">
        <v>42</v>
      </c>
      <c r="C28" s="6">
        <v>193144.95</v>
      </c>
      <c r="D28" s="6">
        <v>200414</v>
      </c>
      <c r="E28" s="6">
        <v>211250.7</v>
      </c>
      <c r="F28" s="6">
        <v>221969.1</v>
      </c>
      <c r="G28" s="6">
        <v>233053.8</v>
      </c>
    </row>
    <row r="29" spans="1:7" ht="15.75" x14ac:dyDescent="0.25">
      <c r="A29" s="3" t="s">
        <v>21</v>
      </c>
      <c r="B29" s="3" t="s">
        <v>43</v>
      </c>
      <c r="C29" s="6">
        <v>16648.21</v>
      </c>
      <c r="D29" s="6">
        <v>17155.75</v>
      </c>
      <c r="E29" s="6">
        <v>18030.25</v>
      </c>
      <c r="F29" s="6">
        <v>18934.400000000001</v>
      </c>
      <c r="G29" s="6">
        <v>19884.060000000001</v>
      </c>
    </row>
    <row r="30" spans="1:7" ht="15.75" x14ac:dyDescent="0.25">
      <c r="A30" s="3" t="s">
        <v>21</v>
      </c>
      <c r="B30" s="3" t="s">
        <v>44</v>
      </c>
      <c r="C30" s="6">
        <v>67619.240000000005</v>
      </c>
      <c r="D30" s="6">
        <v>69796.94</v>
      </c>
      <c r="E30" s="6">
        <v>73260.649999999994</v>
      </c>
      <c r="F30" s="6">
        <v>77241.789999999994</v>
      </c>
      <c r="G30" s="6">
        <v>81251.61</v>
      </c>
    </row>
    <row r="31" spans="1:7" ht="15.75" x14ac:dyDescent="0.25">
      <c r="A31" s="3" t="s">
        <v>21</v>
      </c>
      <c r="B31" s="3" t="s">
        <v>45</v>
      </c>
      <c r="C31" s="6">
        <v>48135.93</v>
      </c>
      <c r="D31" s="6">
        <v>49947.24</v>
      </c>
      <c r="E31" s="6">
        <v>52564.98</v>
      </c>
      <c r="F31" s="6">
        <v>55221.82</v>
      </c>
      <c r="G31" s="6">
        <v>58241.86</v>
      </c>
    </row>
    <row r="32" spans="1:7" ht="15.75" x14ac:dyDescent="0.25">
      <c r="A32" s="3" t="s">
        <v>21</v>
      </c>
      <c r="B32" s="3" t="s">
        <v>46</v>
      </c>
      <c r="C32" s="6">
        <v>22340.560000000001</v>
      </c>
      <c r="D32" s="6">
        <v>23275.78</v>
      </c>
      <c r="E32" s="6">
        <v>24652.73</v>
      </c>
      <c r="F32" s="6">
        <v>25931.98</v>
      </c>
      <c r="G32" s="6">
        <v>27296.93</v>
      </c>
    </row>
    <row r="33" spans="1:13" ht="15.75" x14ac:dyDescent="0.25">
      <c r="A33" s="3" t="s">
        <v>21</v>
      </c>
      <c r="B33" s="3" t="s">
        <v>47</v>
      </c>
      <c r="C33" s="6">
        <v>15430.02</v>
      </c>
      <c r="D33" s="6">
        <v>15980.75</v>
      </c>
      <c r="E33" s="6">
        <v>16781.04</v>
      </c>
      <c r="F33" s="6">
        <v>17781.93</v>
      </c>
      <c r="G33" s="6">
        <v>18709.87</v>
      </c>
    </row>
    <row r="34" spans="1:13" ht="15.75" x14ac:dyDescent="0.25">
      <c r="A34" s="3" t="s">
        <v>21</v>
      </c>
      <c r="B34" s="3" t="s">
        <v>48</v>
      </c>
      <c r="C34" s="6">
        <v>3251.76</v>
      </c>
      <c r="D34" s="6">
        <v>3365.25</v>
      </c>
      <c r="E34" s="6">
        <v>3516.57</v>
      </c>
      <c r="F34" s="6">
        <v>3682.3</v>
      </c>
      <c r="G34" s="6">
        <v>3883.98</v>
      </c>
    </row>
    <row r="35" spans="1:13" ht="15.75" x14ac:dyDescent="0.25">
      <c r="A35" s="3" t="s">
        <v>49</v>
      </c>
      <c r="B35" s="3" t="s">
        <v>50</v>
      </c>
      <c r="C35" s="6">
        <v>19511.68</v>
      </c>
      <c r="D35" s="6">
        <v>20116.900000000001</v>
      </c>
      <c r="E35" s="6">
        <v>20814.77</v>
      </c>
      <c r="F35" s="6">
        <v>21340.73</v>
      </c>
      <c r="G35" s="6">
        <v>21928.59</v>
      </c>
    </row>
    <row r="36" spans="1:13" ht="15.75" x14ac:dyDescent="0.25">
      <c r="A36" s="3" t="s">
        <v>49</v>
      </c>
      <c r="B36" s="3" t="s">
        <v>51</v>
      </c>
      <c r="C36" s="6">
        <v>20622.04</v>
      </c>
      <c r="D36" s="6">
        <v>21278.48</v>
      </c>
      <c r="E36" s="6">
        <v>22087.37</v>
      </c>
      <c r="F36" s="6">
        <v>22706.47</v>
      </c>
      <c r="G36" s="6">
        <v>23377.24</v>
      </c>
    </row>
    <row r="37" spans="1:13" ht="15.75" x14ac:dyDescent="0.25">
      <c r="A37" s="3" t="s">
        <v>49</v>
      </c>
      <c r="B37" s="3" t="s">
        <v>52</v>
      </c>
      <c r="C37" s="6">
        <v>93480.39</v>
      </c>
      <c r="D37" s="6">
        <v>97869.38</v>
      </c>
      <c r="E37" s="6">
        <v>103219.4</v>
      </c>
      <c r="F37" s="6">
        <v>108569.8</v>
      </c>
      <c r="G37" s="6">
        <v>113998.2</v>
      </c>
    </row>
    <row r="38" spans="1:13" ht="15.75" x14ac:dyDescent="0.25">
      <c r="A38" s="3" t="s">
        <v>49</v>
      </c>
      <c r="B38" s="3" t="s">
        <v>53</v>
      </c>
      <c r="C38" s="6">
        <v>52866.43</v>
      </c>
      <c r="D38" s="6">
        <v>54844.65</v>
      </c>
      <c r="E38" s="6">
        <v>57605.99</v>
      </c>
      <c r="F38" s="6">
        <v>60369.96</v>
      </c>
      <c r="G38" s="6">
        <v>63255.33</v>
      </c>
    </row>
    <row r="39" spans="1:13" ht="15.75" x14ac:dyDescent="0.25">
      <c r="A39" s="3" t="s">
        <v>49</v>
      </c>
      <c r="B39" s="3" t="s">
        <v>54</v>
      </c>
      <c r="C39" s="6">
        <v>102415.7</v>
      </c>
      <c r="D39" s="6">
        <v>106413.7</v>
      </c>
      <c r="E39" s="6">
        <v>112778.1</v>
      </c>
      <c r="F39" s="6">
        <v>119059.9</v>
      </c>
      <c r="G39" s="6">
        <v>125060.3</v>
      </c>
    </row>
    <row r="40" spans="1:13" ht="15.75" x14ac:dyDescent="0.25">
      <c r="A40" s="3" t="s">
        <v>49</v>
      </c>
      <c r="B40" s="3" t="s">
        <v>55</v>
      </c>
      <c r="C40" s="6">
        <v>73319.12</v>
      </c>
      <c r="D40" s="6">
        <v>77163.94</v>
      </c>
      <c r="E40" s="6">
        <v>80646.38</v>
      </c>
      <c r="F40" s="6">
        <v>84536.65</v>
      </c>
      <c r="G40" s="6">
        <v>88628.11</v>
      </c>
    </row>
    <row r="41" spans="1:13" ht="15.75" x14ac:dyDescent="0.25">
      <c r="A41" s="3" t="s">
        <v>49</v>
      </c>
      <c r="B41" s="3" t="s">
        <v>56</v>
      </c>
      <c r="C41" s="6">
        <v>22518.66</v>
      </c>
      <c r="D41" s="6">
        <v>23392.75</v>
      </c>
      <c r="E41" s="6">
        <v>24495.02</v>
      </c>
      <c r="F41" s="6">
        <v>25655.25</v>
      </c>
      <c r="G41" s="6">
        <v>26863.08</v>
      </c>
    </row>
    <row r="42" spans="1:13" ht="15.75" x14ac:dyDescent="0.25">
      <c r="A42" s="3" t="s">
        <v>49</v>
      </c>
      <c r="B42" s="3" t="s">
        <v>57</v>
      </c>
      <c r="C42" s="6">
        <v>59531.08</v>
      </c>
      <c r="D42" s="6">
        <v>62393.120000000003</v>
      </c>
      <c r="E42" s="6">
        <v>66021.240000000005</v>
      </c>
      <c r="F42" s="6">
        <v>69561.56</v>
      </c>
      <c r="G42" s="6">
        <v>73052.84</v>
      </c>
    </row>
    <row r="43" spans="1:13" x14ac:dyDescent="0.2">
      <c r="H43" t="s">
        <v>61</v>
      </c>
      <c r="I43">
        <f>MIN(C2:C42)</f>
        <v>3251.76</v>
      </c>
      <c r="J43">
        <f t="shared" ref="J43:M43" si="0">MIN(D2:D42)</f>
        <v>3365.25</v>
      </c>
      <c r="K43">
        <f t="shared" si="0"/>
        <v>3516.57</v>
      </c>
      <c r="L43">
        <f t="shared" si="0"/>
        <v>3305.13</v>
      </c>
      <c r="M43">
        <f t="shared" si="0"/>
        <v>3268.5</v>
      </c>
    </row>
    <row r="44" spans="1:13" x14ac:dyDescent="0.2">
      <c r="H44" t="s">
        <v>59</v>
      </c>
      <c r="I44">
        <f>AVERAGE(C2:C42)</f>
        <v>90668.15390243908</v>
      </c>
      <c r="J44">
        <f t="shared" ref="J44:M44" si="1">AVERAGE(D2:D42)</f>
        <v>155753.20707317078</v>
      </c>
      <c r="K44">
        <f t="shared" si="1"/>
        <v>156900.89756097566</v>
      </c>
      <c r="L44">
        <f t="shared" si="1"/>
        <v>104051.93463414632</v>
      </c>
      <c r="M44">
        <f t="shared" si="1"/>
        <v>109134.55390243905</v>
      </c>
    </row>
    <row r="45" spans="1:13" x14ac:dyDescent="0.2">
      <c r="H45" t="s">
        <v>60</v>
      </c>
      <c r="I45">
        <f>MAX(C2:C42)</f>
        <v>449518.14</v>
      </c>
      <c r="J45">
        <f t="shared" ref="J45:M45" si="2">MAX(D2:D42)</f>
        <v>2538923</v>
      </c>
      <c r="K45">
        <f t="shared" si="2"/>
        <v>2383665</v>
      </c>
      <c r="L45">
        <f t="shared" si="2"/>
        <v>506560.7</v>
      </c>
      <c r="M45">
        <f t="shared" si="2"/>
        <v>532606.9</v>
      </c>
    </row>
  </sheetData>
  <pageMargins left="0.7" right="0.7" top="0.75" bottom="0.75" header="0.3" footer="0.3"/>
  <ignoredErrors>
    <ignoredError sqref="I43:M4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2C3E-8DED-413C-875B-6EA7A5F369DF}">
  <dimension ref="A1:M44"/>
  <sheetViews>
    <sheetView topLeftCell="A12" workbookViewId="0">
      <selection activeCell="B42" sqref="A1:B42"/>
    </sheetView>
  </sheetViews>
  <sheetFormatPr defaultRowHeight="12.75" x14ac:dyDescent="0.2"/>
  <cols>
    <col min="2" max="2" width="18.28515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" x14ac:dyDescent="0.25">
      <c r="A2" s="3" t="s">
        <v>14</v>
      </c>
      <c r="B2" s="3" t="s">
        <v>15</v>
      </c>
      <c r="C2">
        <v>4.9400000000000004</v>
      </c>
      <c r="D2">
        <v>1.55</v>
      </c>
      <c r="E2">
        <v>1.7</v>
      </c>
      <c r="F2">
        <v>7.86</v>
      </c>
      <c r="G2">
        <v>1.1100000000000001</v>
      </c>
    </row>
    <row r="3" spans="1:7" ht="15" x14ac:dyDescent="0.25">
      <c r="A3" s="3" t="s">
        <v>14</v>
      </c>
      <c r="B3" s="3" t="s">
        <v>16</v>
      </c>
      <c r="C3">
        <v>0.49</v>
      </c>
      <c r="D3">
        <v>2.29</v>
      </c>
      <c r="E3">
        <v>5.24</v>
      </c>
      <c r="F3">
        <v>5.32</v>
      </c>
      <c r="G3">
        <v>5.17</v>
      </c>
    </row>
    <row r="4" spans="1:7" ht="15" x14ac:dyDescent="0.25">
      <c r="A4" s="3" t="s">
        <v>14</v>
      </c>
      <c r="B4" s="3" t="s">
        <v>17</v>
      </c>
      <c r="C4">
        <v>4.47</v>
      </c>
      <c r="D4">
        <v>4.7699999999999996</v>
      </c>
      <c r="E4">
        <v>5.0199999999999996</v>
      </c>
      <c r="F4">
        <v>5.15</v>
      </c>
      <c r="G4">
        <v>4.49</v>
      </c>
    </row>
    <row r="5" spans="1:7" ht="15" x14ac:dyDescent="0.25">
      <c r="A5" s="3" t="s">
        <v>14</v>
      </c>
      <c r="B5" s="3" t="s">
        <v>18</v>
      </c>
      <c r="C5">
        <v>0.86</v>
      </c>
      <c r="D5">
        <v>2.33</v>
      </c>
      <c r="E5">
        <v>4.78</v>
      </c>
      <c r="F5">
        <v>5.1100000000000003</v>
      </c>
      <c r="G5">
        <v>5.14</v>
      </c>
    </row>
    <row r="6" spans="1:7" ht="15" x14ac:dyDescent="0.25">
      <c r="A6" s="3" t="s">
        <v>14</v>
      </c>
      <c r="B6" s="3" t="s">
        <v>19</v>
      </c>
      <c r="C6">
        <v>0.86</v>
      </c>
      <c r="D6">
        <v>3.61</v>
      </c>
      <c r="E6">
        <v>5.5</v>
      </c>
      <c r="F6">
        <v>5.3</v>
      </c>
      <c r="G6">
        <v>5.27</v>
      </c>
    </row>
    <row r="7" spans="1:7" ht="15" x14ac:dyDescent="0.25">
      <c r="A7" s="3" t="s">
        <v>14</v>
      </c>
      <c r="B7" s="3" t="s">
        <v>20</v>
      </c>
      <c r="C7">
        <v>6.22</v>
      </c>
      <c r="D7">
        <v>6.02</v>
      </c>
      <c r="E7">
        <v>5.85</v>
      </c>
      <c r="F7">
        <v>4.17</v>
      </c>
      <c r="G7">
        <v>4.29</v>
      </c>
    </row>
    <row r="8" spans="1:7" ht="15" x14ac:dyDescent="0.25">
      <c r="A8" s="3" t="s">
        <v>21</v>
      </c>
      <c r="B8" s="3" t="s">
        <v>22</v>
      </c>
      <c r="C8">
        <v>1.76</v>
      </c>
      <c r="D8">
        <v>3.55</v>
      </c>
      <c r="E8">
        <v>5.25</v>
      </c>
      <c r="F8">
        <v>5.19</v>
      </c>
      <c r="G8">
        <v>5.21</v>
      </c>
    </row>
    <row r="9" spans="1:7" ht="15" x14ac:dyDescent="0.25">
      <c r="A9" s="3" t="s">
        <v>21</v>
      </c>
      <c r="B9" s="3" t="s">
        <v>23</v>
      </c>
      <c r="C9">
        <v>0.91</v>
      </c>
      <c r="D9">
        <v>3.74</v>
      </c>
      <c r="E9">
        <v>5.12</v>
      </c>
      <c r="F9">
        <v>5.17</v>
      </c>
      <c r="G9">
        <v>5.15</v>
      </c>
    </row>
    <row r="10" spans="1:7" ht="15" x14ac:dyDescent="0.25">
      <c r="A10" s="3" t="s">
        <v>21</v>
      </c>
      <c r="B10" s="3" t="s">
        <v>24</v>
      </c>
      <c r="C10">
        <v>0.77</v>
      </c>
      <c r="D10">
        <v>3.48</v>
      </c>
      <c r="E10">
        <v>5.04</v>
      </c>
      <c r="F10">
        <v>5.16</v>
      </c>
      <c r="G10">
        <v>5.14</v>
      </c>
    </row>
    <row r="11" spans="1:7" ht="15" x14ac:dyDescent="0.25">
      <c r="A11" s="3" t="s">
        <v>21</v>
      </c>
      <c r="B11" s="3" t="s">
        <v>25</v>
      </c>
      <c r="C11">
        <v>1.8</v>
      </c>
      <c r="D11">
        <v>3.56</v>
      </c>
      <c r="E11">
        <v>5.35</v>
      </c>
      <c r="F11">
        <v>4.97</v>
      </c>
      <c r="G11">
        <v>5.04</v>
      </c>
    </row>
    <row r="12" spans="1:7" ht="15" x14ac:dyDescent="0.25">
      <c r="A12" s="3" t="s">
        <v>21</v>
      </c>
      <c r="B12" s="3" t="s">
        <v>26</v>
      </c>
      <c r="C12">
        <v>1.28</v>
      </c>
      <c r="D12">
        <v>3.58</v>
      </c>
      <c r="E12">
        <v>5.08</v>
      </c>
      <c r="F12">
        <v>4.9400000000000004</v>
      </c>
      <c r="G12">
        <v>4.95</v>
      </c>
    </row>
    <row r="13" spans="1:7" ht="15" x14ac:dyDescent="0.25">
      <c r="A13" s="3" t="s">
        <v>21</v>
      </c>
      <c r="B13" s="3" t="s">
        <v>27</v>
      </c>
      <c r="C13">
        <v>0.98</v>
      </c>
      <c r="D13">
        <v>3.43</v>
      </c>
      <c r="E13">
        <v>4.7</v>
      </c>
      <c r="F13">
        <v>4.6900000000000004</v>
      </c>
      <c r="G13">
        <v>4.6399999999999997</v>
      </c>
    </row>
    <row r="14" spans="1:7" ht="15" x14ac:dyDescent="0.25">
      <c r="A14" s="3" t="s">
        <v>21</v>
      </c>
      <c r="B14" s="3" t="s">
        <v>28</v>
      </c>
      <c r="C14">
        <v>0.14000000000000001</v>
      </c>
      <c r="D14">
        <v>3.66</v>
      </c>
      <c r="E14">
        <v>5.0199999999999996</v>
      </c>
      <c r="F14">
        <v>4.99</v>
      </c>
      <c r="G14">
        <v>4.97</v>
      </c>
    </row>
    <row r="15" spans="1:7" ht="15" x14ac:dyDescent="0.25">
      <c r="A15" s="3" t="s">
        <v>21</v>
      </c>
      <c r="B15" s="3" t="s">
        <v>29</v>
      </c>
      <c r="C15">
        <v>0.11</v>
      </c>
      <c r="D15">
        <v>3.56</v>
      </c>
      <c r="E15">
        <v>5.53</v>
      </c>
      <c r="F15">
        <v>5.25</v>
      </c>
      <c r="G15">
        <v>5.61</v>
      </c>
    </row>
    <row r="16" spans="1:7" ht="15" x14ac:dyDescent="0.25">
      <c r="A16" s="3" t="s">
        <v>21</v>
      </c>
      <c r="B16" s="3" t="s">
        <v>30</v>
      </c>
      <c r="C16">
        <v>1.08</v>
      </c>
      <c r="D16">
        <v>2.4700000000000002</v>
      </c>
      <c r="E16">
        <v>4.09</v>
      </c>
      <c r="F16">
        <v>4.8499999999999996</v>
      </c>
      <c r="G16">
        <v>5.83</v>
      </c>
    </row>
    <row r="17" spans="1:7" ht="15" x14ac:dyDescent="0.25">
      <c r="A17" s="3" t="s">
        <v>21</v>
      </c>
      <c r="B17" s="3" t="s">
        <v>31</v>
      </c>
      <c r="C17">
        <v>0.89</v>
      </c>
      <c r="D17">
        <v>4.75</v>
      </c>
      <c r="E17">
        <v>6.63</v>
      </c>
      <c r="F17">
        <v>6.15</v>
      </c>
      <c r="G17">
        <v>6.38</v>
      </c>
    </row>
    <row r="18" spans="1:7" ht="15" x14ac:dyDescent="0.25">
      <c r="A18" s="3" t="s">
        <v>21</v>
      </c>
      <c r="B18" s="3" t="s">
        <v>32</v>
      </c>
      <c r="C18">
        <v>1.1200000000000001</v>
      </c>
      <c r="D18">
        <v>2.97</v>
      </c>
      <c r="E18">
        <v>5.03</v>
      </c>
      <c r="F18">
        <v>5.01</v>
      </c>
      <c r="G18">
        <v>4.05</v>
      </c>
    </row>
    <row r="19" spans="1:7" ht="15" x14ac:dyDescent="0.25">
      <c r="A19" s="3" t="s">
        <v>21</v>
      </c>
      <c r="B19" s="3" t="s">
        <v>33</v>
      </c>
      <c r="C19">
        <v>1.58</v>
      </c>
      <c r="D19">
        <v>0.57999999999999996</v>
      </c>
      <c r="E19">
        <v>2.88</v>
      </c>
      <c r="F19">
        <v>9.76</v>
      </c>
      <c r="G19">
        <v>2.1800000000000002</v>
      </c>
    </row>
    <row r="20" spans="1:7" ht="15" x14ac:dyDescent="0.25">
      <c r="A20" s="3" t="s">
        <v>21</v>
      </c>
      <c r="B20" s="3" t="s">
        <v>34</v>
      </c>
      <c r="C20">
        <v>1.1499999999999999</v>
      </c>
      <c r="D20">
        <v>2.1800000000000002</v>
      </c>
      <c r="E20">
        <v>4.29</v>
      </c>
      <c r="F20">
        <v>4.6399999999999997</v>
      </c>
      <c r="G20">
        <v>4.8099999999999996</v>
      </c>
    </row>
    <row r="21" spans="1:7" ht="15" x14ac:dyDescent="0.25">
      <c r="A21" s="3" t="s">
        <v>21</v>
      </c>
      <c r="B21" s="3" t="s">
        <v>35</v>
      </c>
      <c r="C21">
        <v>2.13</v>
      </c>
      <c r="D21">
        <v>3.42</v>
      </c>
      <c r="E21">
        <v>5.24</v>
      </c>
      <c r="F21">
        <v>4.97</v>
      </c>
      <c r="G21">
        <v>4.6399999999999997</v>
      </c>
    </row>
    <row r="22" spans="1:7" ht="15" x14ac:dyDescent="0.25">
      <c r="A22" s="3" t="s">
        <v>21</v>
      </c>
      <c r="B22" s="3" t="s">
        <v>36</v>
      </c>
      <c r="C22">
        <v>3.8</v>
      </c>
      <c r="D22">
        <v>5.85</v>
      </c>
      <c r="E22">
        <v>6.31</v>
      </c>
      <c r="F22">
        <v>5.4</v>
      </c>
      <c r="G22">
        <v>4.2</v>
      </c>
    </row>
    <row r="23" spans="1:7" ht="15" x14ac:dyDescent="0.25">
      <c r="A23" s="3" t="s">
        <v>21</v>
      </c>
      <c r="B23" s="3" t="s">
        <v>37</v>
      </c>
      <c r="C23">
        <v>3.39</v>
      </c>
      <c r="D23">
        <v>3.62</v>
      </c>
      <c r="E23">
        <v>5.3</v>
      </c>
      <c r="F23">
        <v>5.32</v>
      </c>
      <c r="G23">
        <v>5.17</v>
      </c>
    </row>
    <row r="24" spans="1:7" ht="15" x14ac:dyDescent="0.25">
      <c r="A24" s="3" t="s">
        <v>21</v>
      </c>
      <c r="B24" s="3" t="s">
        <v>38</v>
      </c>
      <c r="C24">
        <v>2.41</v>
      </c>
      <c r="D24">
        <v>3.46</v>
      </c>
      <c r="E24">
        <v>5.34</v>
      </c>
      <c r="F24">
        <v>5</v>
      </c>
      <c r="G24">
        <v>4.9400000000000004</v>
      </c>
    </row>
    <row r="25" spans="1:7" ht="15" x14ac:dyDescent="0.25">
      <c r="A25" s="3" t="s">
        <v>21</v>
      </c>
      <c r="B25" s="3" t="s">
        <v>39</v>
      </c>
      <c r="C25">
        <v>0.05</v>
      </c>
      <c r="D25">
        <v>3.67</v>
      </c>
      <c r="E25">
        <v>5.03</v>
      </c>
      <c r="F25">
        <v>5.26</v>
      </c>
      <c r="G25">
        <v>5.12</v>
      </c>
    </row>
    <row r="26" spans="1:7" ht="15" x14ac:dyDescent="0.25">
      <c r="A26" s="3" t="s">
        <v>21</v>
      </c>
      <c r="B26" s="3" t="s">
        <v>40</v>
      </c>
      <c r="C26">
        <v>0.41</v>
      </c>
      <c r="D26">
        <v>3.76</v>
      </c>
      <c r="E26">
        <v>5.65</v>
      </c>
      <c r="F26">
        <v>5.0999999999999996</v>
      </c>
      <c r="G26">
        <v>5.15</v>
      </c>
    </row>
    <row r="27" spans="1:7" ht="15" x14ac:dyDescent="0.25">
      <c r="A27" s="3" t="s">
        <v>21</v>
      </c>
      <c r="B27" s="3" t="s">
        <v>41</v>
      </c>
      <c r="C27">
        <v>1.49</v>
      </c>
      <c r="D27">
        <v>3.71</v>
      </c>
      <c r="E27">
        <v>5.35</v>
      </c>
      <c r="F27">
        <v>5.12</v>
      </c>
      <c r="G27">
        <v>5.1100000000000003</v>
      </c>
    </row>
    <row r="28" spans="1:7" ht="15" x14ac:dyDescent="0.25">
      <c r="A28" s="3" t="s">
        <v>21</v>
      </c>
      <c r="B28" s="3" t="s">
        <v>42</v>
      </c>
      <c r="C28">
        <v>2.2799999999999998</v>
      </c>
      <c r="D28">
        <v>3.76</v>
      </c>
      <c r="E28">
        <v>5.41</v>
      </c>
      <c r="F28">
        <v>5.07</v>
      </c>
      <c r="G28">
        <v>4.99</v>
      </c>
    </row>
    <row r="29" spans="1:7" ht="15" x14ac:dyDescent="0.25">
      <c r="A29" s="3" t="s">
        <v>21</v>
      </c>
      <c r="B29" s="3" t="s">
        <v>43</v>
      </c>
      <c r="C29">
        <v>0.98</v>
      </c>
      <c r="D29">
        <v>3.05</v>
      </c>
      <c r="E29">
        <v>5.0999999999999996</v>
      </c>
      <c r="F29">
        <v>5.01</v>
      </c>
      <c r="G29">
        <v>5.0199999999999996</v>
      </c>
    </row>
    <row r="30" spans="1:7" ht="15" x14ac:dyDescent="0.25">
      <c r="A30" s="3" t="s">
        <v>21</v>
      </c>
      <c r="B30" s="3" t="s">
        <v>44</v>
      </c>
      <c r="C30">
        <v>2.58</v>
      </c>
      <c r="D30">
        <v>3.22</v>
      </c>
      <c r="E30">
        <v>4.96</v>
      </c>
      <c r="F30">
        <v>5.43</v>
      </c>
      <c r="G30">
        <v>5.19</v>
      </c>
    </row>
    <row r="31" spans="1:7" ht="15" x14ac:dyDescent="0.25">
      <c r="A31" s="3" t="s">
        <v>21</v>
      </c>
      <c r="B31" s="3" t="s">
        <v>45</v>
      </c>
      <c r="C31">
        <v>1.92</v>
      </c>
      <c r="D31">
        <v>3.76</v>
      </c>
      <c r="E31">
        <v>5.24</v>
      </c>
      <c r="F31">
        <v>5.05</v>
      </c>
      <c r="G31">
        <v>5.47</v>
      </c>
    </row>
    <row r="32" spans="1:7" ht="15" x14ac:dyDescent="0.25">
      <c r="A32" s="3" t="s">
        <v>21</v>
      </c>
      <c r="B32" s="3" t="s">
        <v>46</v>
      </c>
      <c r="C32">
        <v>2.2599999999999998</v>
      </c>
      <c r="D32">
        <v>4.1900000000000004</v>
      </c>
      <c r="E32">
        <v>5.92</v>
      </c>
      <c r="F32">
        <v>5.19</v>
      </c>
      <c r="G32">
        <v>5.26</v>
      </c>
    </row>
    <row r="33" spans="1:13" ht="15" x14ac:dyDescent="0.25">
      <c r="A33" s="3" t="s">
        <v>21</v>
      </c>
      <c r="B33" s="3" t="s">
        <v>47</v>
      </c>
      <c r="C33">
        <v>2.0099999999999998</v>
      </c>
      <c r="D33">
        <v>3.57</v>
      </c>
      <c r="E33">
        <v>5.01</v>
      </c>
      <c r="F33">
        <v>5.96</v>
      </c>
      <c r="G33">
        <v>5.22</v>
      </c>
    </row>
    <row r="34" spans="1:13" ht="15" x14ac:dyDescent="0.25">
      <c r="A34" s="3" t="s">
        <v>21</v>
      </c>
      <c r="B34" s="3" t="s">
        <v>48</v>
      </c>
      <c r="C34">
        <v>0.94</v>
      </c>
      <c r="D34">
        <v>3.69</v>
      </c>
      <c r="E34">
        <v>4.29</v>
      </c>
      <c r="F34">
        <v>4.71</v>
      </c>
      <c r="G34">
        <v>5.48</v>
      </c>
    </row>
    <row r="35" spans="1:13" ht="15" x14ac:dyDescent="0.25">
      <c r="A35" s="3" t="s">
        <v>49</v>
      </c>
      <c r="B35" s="3" t="s">
        <v>50</v>
      </c>
      <c r="C35">
        <v>0.67</v>
      </c>
      <c r="D35">
        <v>3.01</v>
      </c>
      <c r="E35">
        <v>3.47</v>
      </c>
      <c r="F35">
        <v>2.5299999999999998</v>
      </c>
      <c r="G35">
        <v>2.75</v>
      </c>
    </row>
    <row r="36" spans="1:13" ht="15" x14ac:dyDescent="0.25">
      <c r="A36" s="3" t="s">
        <v>49</v>
      </c>
      <c r="B36" s="3" t="s">
        <v>51</v>
      </c>
      <c r="C36">
        <v>0.91</v>
      </c>
      <c r="D36">
        <v>3.18</v>
      </c>
      <c r="E36">
        <v>3.8</v>
      </c>
      <c r="F36">
        <v>2.8</v>
      </c>
      <c r="G36">
        <v>2.95</v>
      </c>
    </row>
    <row r="37" spans="1:13" ht="15" x14ac:dyDescent="0.25">
      <c r="A37" s="3" t="s">
        <v>49</v>
      </c>
      <c r="B37" s="3" t="s">
        <v>52</v>
      </c>
      <c r="C37">
        <v>3.76</v>
      </c>
      <c r="D37">
        <v>4.7</v>
      </c>
      <c r="E37">
        <v>5.47</v>
      </c>
      <c r="F37">
        <v>5.18</v>
      </c>
      <c r="G37">
        <v>5</v>
      </c>
    </row>
    <row r="38" spans="1:13" ht="15" x14ac:dyDescent="0.25">
      <c r="A38" s="3" t="s">
        <v>49</v>
      </c>
      <c r="B38" s="3" t="s">
        <v>53</v>
      </c>
      <c r="C38">
        <v>2.73</v>
      </c>
      <c r="D38">
        <v>3.74</v>
      </c>
      <c r="E38">
        <v>5.03</v>
      </c>
      <c r="F38">
        <v>4.8</v>
      </c>
      <c r="G38">
        <v>4.78</v>
      </c>
    </row>
    <row r="39" spans="1:13" ht="15" x14ac:dyDescent="0.25">
      <c r="A39" s="3" t="s">
        <v>49</v>
      </c>
      <c r="B39" s="3" t="s">
        <v>54</v>
      </c>
      <c r="C39">
        <v>7.36</v>
      </c>
      <c r="D39">
        <v>3.9</v>
      </c>
      <c r="E39">
        <v>5.98</v>
      </c>
      <c r="F39">
        <v>5.57</v>
      </c>
      <c r="G39">
        <v>5.04</v>
      </c>
    </row>
    <row r="40" spans="1:13" ht="15" x14ac:dyDescent="0.25">
      <c r="A40" s="3" t="s">
        <v>49</v>
      </c>
      <c r="B40" s="3" t="s">
        <v>55</v>
      </c>
      <c r="C40">
        <v>1.23</v>
      </c>
      <c r="D40">
        <v>5.24</v>
      </c>
      <c r="E40">
        <v>4.51</v>
      </c>
      <c r="F40">
        <v>4.82</v>
      </c>
      <c r="G40">
        <v>4.84</v>
      </c>
    </row>
    <row r="41" spans="1:13" ht="15" x14ac:dyDescent="0.25">
      <c r="A41" s="3" t="s">
        <v>49</v>
      </c>
      <c r="B41" s="3" t="s">
        <v>56</v>
      </c>
      <c r="C41">
        <v>1.29</v>
      </c>
      <c r="D41">
        <v>3.88</v>
      </c>
      <c r="E41">
        <v>4.71</v>
      </c>
      <c r="F41">
        <v>4.74</v>
      </c>
      <c r="G41">
        <v>4.71</v>
      </c>
    </row>
    <row r="42" spans="1:13" ht="15" x14ac:dyDescent="0.25">
      <c r="A42" s="3" t="s">
        <v>49</v>
      </c>
      <c r="B42" s="3" t="s">
        <v>57</v>
      </c>
      <c r="C42">
        <v>1.01</v>
      </c>
      <c r="D42">
        <v>4.8099999999999996</v>
      </c>
      <c r="E42">
        <v>5.81</v>
      </c>
      <c r="F42">
        <v>5.36</v>
      </c>
      <c r="G42">
        <v>5.0199999999999996</v>
      </c>
    </row>
    <row r="43" spans="1:13" x14ac:dyDescent="0.2">
      <c r="H43" t="s">
        <v>58</v>
      </c>
    </row>
    <row r="44" spans="1:13" x14ac:dyDescent="0.2">
      <c r="H44" t="s">
        <v>59</v>
      </c>
      <c r="I44">
        <f>AVERAGE(C2:C42)</f>
        <v>1.8785365853658536</v>
      </c>
      <c r="J44">
        <f t="shared" ref="J44:M44" si="0">AVERAGE(D2:D42)</f>
        <v>3.5919512195121954</v>
      </c>
      <c r="K44">
        <f t="shared" si="0"/>
        <v>5.0007317073170734</v>
      </c>
      <c r="L44">
        <f t="shared" si="0"/>
        <v>5.1724390243902452</v>
      </c>
      <c r="M44">
        <f t="shared" si="0"/>
        <v>4.7678048780487812</v>
      </c>
    </row>
  </sheetData>
  <pageMargins left="0.7" right="0.7" top="0.75" bottom="0.75" header="0.3" footer="0.3"/>
  <ignoredErrors>
    <ignoredError sqref="I44 J44:M4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E930-CC7A-4C6C-9355-1A1567D4883A}">
  <dimension ref="A1:M48"/>
  <sheetViews>
    <sheetView topLeftCell="B23" workbookViewId="0">
      <selection activeCell="H43" sqref="H43:M45"/>
    </sheetView>
  </sheetViews>
  <sheetFormatPr defaultRowHeight="12.75" x14ac:dyDescent="0.2"/>
  <cols>
    <col min="2" max="2" width="18.140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" x14ac:dyDescent="0.25">
      <c r="A2" s="3" t="s">
        <v>14</v>
      </c>
      <c r="B2" s="3" t="s">
        <v>15</v>
      </c>
      <c r="C2" s="7">
        <v>7.37</v>
      </c>
      <c r="D2" s="7">
        <v>8.58</v>
      </c>
      <c r="E2" s="7">
        <v>8.4700000000000006</v>
      </c>
      <c r="F2" s="7">
        <v>8.11</v>
      </c>
      <c r="G2" s="7">
        <v>7.93</v>
      </c>
    </row>
    <row r="3" spans="1:7" ht="15" x14ac:dyDescent="0.25">
      <c r="A3" s="3" t="s">
        <v>14</v>
      </c>
      <c r="B3" s="3" t="s">
        <v>16</v>
      </c>
      <c r="C3" s="7">
        <v>10.79</v>
      </c>
      <c r="D3" s="7">
        <v>7.33</v>
      </c>
      <c r="E3" s="7">
        <v>5.63</v>
      </c>
      <c r="F3" s="7">
        <v>5.37</v>
      </c>
      <c r="G3" s="7">
        <v>5.22</v>
      </c>
    </row>
    <row r="4" spans="1:7" ht="15" x14ac:dyDescent="0.25">
      <c r="A4" s="3" t="s">
        <v>14</v>
      </c>
      <c r="B4" s="3" t="s">
        <v>17</v>
      </c>
      <c r="C4" s="7">
        <v>9.2899999999999991</v>
      </c>
      <c r="D4" s="7">
        <v>8.23</v>
      </c>
      <c r="E4" s="7">
        <v>8.39</v>
      </c>
      <c r="F4" s="7">
        <v>7.24</v>
      </c>
      <c r="G4" s="7">
        <v>6.95</v>
      </c>
    </row>
    <row r="5" spans="1:7" ht="15" x14ac:dyDescent="0.25">
      <c r="A5" s="3" t="s">
        <v>14</v>
      </c>
      <c r="B5" s="3" t="s">
        <v>18</v>
      </c>
      <c r="C5" s="7">
        <v>10.97</v>
      </c>
      <c r="D5" s="7">
        <v>7.75</v>
      </c>
      <c r="E5" s="7">
        <v>5.88</v>
      </c>
      <c r="F5" s="7">
        <v>6.42</v>
      </c>
      <c r="G5" s="7">
        <v>6.24</v>
      </c>
    </row>
    <row r="6" spans="1:7" ht="15" x14ac:dyDescent="0.25">
      <c r="A6" s="3" t="s">
        <v>14</v>
      </c>
      <c r="B6" s="3" t="s">
        <v>19</v>
      </c>
      <c r="C6" s="7">
        <v>12.27</v>
      </c>
      <c r="D6" s="7">
        <v>9.06</v>
      </c>
      <c r="E6" s="7">
        <v>7.1</v>
      </c>
      <c r="F6" s="7">
        <v>6.39</v>
      </c>
      <c r="G6" s="7">
        <v>6.18</v>
      </c>
    </row>
    <row r="7" spans="1:7" ht="15" x14ac:dyDescent="0.25">
      <c r="A7" s="3" t="s">
        <v>14</v>
      </c>
      <c r="B7" s="3" t="s">
        <v>20</v>
      </c>
      <c r="C7" s="7">
        <v>11.79</v>
      </c>
      <c r="D7" s="7">
        <v>9.84</v>
      </c>
      <c r="E7" s="7">
        <v>8.0399999999999991</v>
      </c>
      <c r="F7" s="7">
        <v>7.05</v>
      </c>
      <c r="G7" s="7">
        <v>6.18</v>
      </c>
    </row>
    <row r="8" spans="1:7" ht="15" x14ac:dyDescent="0.25">
      <c r="A8" s="3" t="s">
        <v>21</v>
      </c>
      <c r="B8" s="3" t="s">
        <v>22</v>
      </c>
      <c r="C8" s="7">
        <v>14.29</v>
      </c>
      <c r="D8" s="7">
        <v>12.22</v>
      </c>
      <c r="E8" s="7">
        <v>10.64</v>
      </c>
      <c r="F8" s="7">
        <v>8.4700000000000006</v>
      </c>
      <c r="G8" s="7">
        <v>7.34</v>
      </c>
    </row>
    <row r="9" spans="1:7" ht="15" x14ac:dyDescent="0.25">
      <c r="A9" s="3" t="s">
        <v>21</v>
      </c>
      <c r="B9" s="3" t="s">
        <v>23</v>
      </c>
      <c r="C9" s="7">
        <v>9.6</v>
      </c>
      <c r="D9" s="7">
        <v>9.51</v>
      </c>
      <c r="E9" s="7">
        <v>7.77</v>
      </c>
      <c r="F9" s="7">
        <v>7.32</v>
      </c>
      <c r="G9" s="8">
        <v>7.11</v>
      </c>
    </row>
    <row r="10" spans="1:7" ht="15" x14ac:dyDescent="0.25">
      <c r="A10" s="3" t="s">
        <v>21</v>
      </c>
      <c r="B10" s="3" t="s">
        <v>24</v>
      </c>
      <c r="C10" s="7">
        <v>11.05</v>
      </c>
      <c r="D10" s="7">
        <v>9.32</v>
      </c>
      <c r="E10" s="7">
        <v>8.41</v>
      </c>
      <c r="F10" s="7">
        <v>7.71</v>
      </c>
      <c r="G10" s="7">
        <v>5.99</v>
      </c>
    </row>
    <row r="11" spans="1:7" ht="15" x14ac:dyDescent="0.25">
      <c r="A11" s="3" t="s">
        <v>21</v>
      </c>
      <c r="B11" s="3" t="s">
        <v>25</v>
      </c>
      <c r="C11" s="7">
        <v>8.58</v>
      </c>
      <c r="D11" s="7">
        <v>8.32</v>
      </c>
      <c r="E11" s="7">
        <v>6.98</v>
      </c>
      <c r="F11" s="7">
        <v>6.52</v>
      </c>
      <c r="G11" s="7">
        <v>6.36</v>
      </c>
    </row>
    <row r="12" spans="1:7" ht="15" x14ac:dyDescent="0.25">
      <c r="A12" s="3" t="s">
        <v>21</v>
      </c>
      <c r="B12" s="3" t="s">
        <v>26</v>
      </c>
      <c r="C12" s="7">
        <v>8.9499999999999993</v>
      </c>
      <c r="D12" s="7">
        <v>8.68</v>
      </c>
      <c r="E12" s="7">
        <v>7.6</v>
      </c>
      <c r="F12" s="7">
        <v>7.33</v>
      </c>
      <c r="G12" s="7">
        <v>6.96</v>
      </c>
    </row>
    <row r="13" spans="1:7" ht="15" x14ac:dyDescent="0.25">
      <c r="A13" s="3" t="s">
        <v>21</v>
      </c>
      <c r="B13" s="3" t="s">
        <v>27</v>
      </c>
      <c r="C13" s="7">
        <v>7.12</v>
      </c>
      <c r="D13" s="7">
        <v>6.16</v>
      </c>
      <c r="E13" s="7">
        <v>4.17</v>
      </c>
      <c r="F13" s="7">
        <v>3.89</v>
      </c>
      <c r="G13" s="7">
        <v>3.74</v>
      </c>
    </row>
    <row r="14" spans="1:7" ht="15" x14ac:dyDescent="0.25">
      <c r="A14" s="3" t="s">
        <v>21</v>
      </c>
      <c r="B14" s="3" t="s">
        <v>28</v>
      </c>
      <c r="C14" s="7">
        <v>5.66</v>
      </c>
      <c r="D14" s="7">
        <v>5.0599999999999996</v>
      </c>
      <c r="E14" s="7">
        <v>3.75</v>
      </c>
      <c r="F14" s="7">
        <v>3.52</v>
      </c>
      <c r="G14" s="7">
        <v>3.37</v>
      </c>
    </row>
    <row r="15" spans="1:7" ht="15" x14ac:dyDescent="0.25">
      <c r="A15" s="3" t="s">
        <v>21</v>
      </c>
      <c r="B15" s="3" t="s">
        <v>29</v>
      </c>
      <c r="C15" s="7">
        <v>11.22</v>
      </c>
      <c r="D15" s="7">
        <v>11.68</v>
      </c>
      <c r="E15" s="7">
        <v>9.81</v>
      </c>
      <c r="F15" s="7">
        <v>9.49</v>
      </c>
      <c r="G15" s="7">
        <v>7.78</v>
      </c>
    </row>
    <row r="16" spans="1:7" ht="15" x14ac:dyDescent="0.25">
      <c r="A16" s="3" t="s">
        <v>21</v>
      </c>
      <c r="B16" s="3" t="s">
        <v>30</v>
      </c>
      <c r="C16" s="7">
        <v>11.52</v>
      </c>
      <c r="D16" s="7">
        <v>10.38</v>
      </c>
      <c r="E16" s="7">
        <v>8.11</v>
      </c>
      <c r="F16" s="7">
        <v>7.65</v>
      </c>
      <c r="G16" s="7">
        <v>6.74</v>
      </c>
    </row>
    <row r="17" spans="1:7" ht="15" x14ac:dyDescent="0.25">
      <c r="A17" s="3" t="s">
        <v>21</v>
      </c>
      <c r="B17" s="3" t="s">
        <v>31</v>
      </c>
      <c r="C17" s="7">
        <v>5.84</v>
      </c>
      <c r="D17" s="7">
        <v>5.71</v>
      </c>
      <c r="E17" s="7">
        <v>4.16</v>
      </c>
      <c r="F17" s="7">
        <v>4.12</v>
      </c>
      <c r="G17" s="7">
        <v>4.01</v>
      </c>
    </row>
    <row r="18" spans="1:7" ht="15" x14ac:dyDescent="0.25">
      <c r="A18" s="3" t="s">
        <v>21</v>
      </c>
      <c r="B18" s="3" t="s">
        <v>32</v>
      </c>
      <c r="C18" s="7">
        <v>9.89</v>
      </c>
      <c r="D18" s="7">
        <v>9.18</v>
      </c>
      <c r="E18" s="7">
        <v>7.72</v>
      </c>
      <c r="F18" s="7">
        <v>6.94</v>
      </c>
      <c r="G18" s="7">
        <v>6.16</v>
      </c>
    </row>
    <row r="19" spans="1:7" ht="15" x14ac:dyDescent="0.25">
      <c r="A19" s="3" t="s">
        <v>21</v>
      </c>
      <c r="B19" s="3" t="s">
        <v>33</v>
      </c>
      <c r="C19" s="7">
        <v>9.2100000000000009</v>
      </c>
      <c r="D19" s="7">
        <v>8.3000000000000007</v>
      </c>
      <c r="E19" s="7">
        <v>6.49</v>
      </c>
      <c r="F19" s="7">
        <v>6.46</v>
      </c>
      <c r="G19" s="7">
        <v>6.25</v>
      </c>
    </row>
    <row r="20" spans="1:7" ht="15" x14ac:dyDescent="0.25">
      <c r="A20" s="3" t="s">
        <v>21</v>
      </c>
      <c r="B20" s="3" t="s">
        <v>34</v>
      </c>
      <c r="C20" s="7">
        <v>9.48</v>
      </c>
      <c r="D20" s="7">
        <v>9.77</v>
      </c>
      <c r="E20" s="7">
        <v>7.77</v>
      </c>
      <c r="F20" s="7">
        <v>7.65</v>
      </c>
      <c r="G20" s="7">
        <v>6.73</v>
      </c>
    </row>
    <row r="21" spans="1:7" ht="15" x14ac:dyDescent="0.25">
      <c r="A21" s="3" t="s">
        <v>21</v>
      </c>
      <c r="B21" s="3" t="s">
        <v>35</v>
      </c>
      <c r="C21" s="7">
        <v>11.07</v>
      </c>
      <c r="D21" s="7">
        <v>10.7</v>
      </c>
      <c r="E21" s="7">
        <v>8.75</v>
      </c>
      <c r="F21" s="7">
        <v>7.72</v>
      </c>
      <c r="G21" s="7">
        <v>7.34</v>
      </c>
    </row>
    <row r="22" spans="1:7" ht="15" x14ac:dyDescent="0.25">
      <c r="A22" s="3" t="s">
        <v>21</v>
      </c>
      <c r="B22" s="3" t="s">
        <v>36</v>
      </c>
      <c r="C22" s="7">
        <v>11.52</v>
      </c>
      <c r="D22" s="7">
        <v>11.83</v>
      </c>
      <c r="E22" s="7">
        <v>9.8699999999999992</v>
      </c>
      <c r="F22" s="7">
        <v>8.9499999999999993</v>
      </c>
      <c r="G22" s="7">
        <v>8.0399999999999991</v>
      </c>
    </row>
    <row r="23" spans="1:7" ht="15" x14ac:dyDescent="0.25">
      <c r="A23" s="3" t="s">
        <v>21</v>
      </c>
      <c r="B23" s="3" t="s">
        <v>37</v>
      </c>
      <c r="C23" s="7">
        <v>11.54</v>
      </c>
      <c r="D23" s="7">
        <v>10.09</v>
      </c>
      <c r="E23" s="7">
        <v>10.31</v>
      </c>
      <c r="F23" s="7">
        <v>8.8699999999999992</v>
      </c>
      <c r="G23" s="7">
        <v>8.82</v>
      </c>
    </row>
    <row r="24" spans="1:7" ht="15" x14ac:dyDescent="0.25">
      <c r="A24" s="3" t="s">
        <v>21</v>
      </c>
      <c r="B24" s="3" t="s">
        <v>38</v>
      </c>
      <c r="C24" s="7">
        <v>12.25</v>
      </c>
      <c r="D24" s="7">
        <v>11.65</v>
      </c>
      <c r="E24" s="7">
        <v>9.6300000000000008</v>
      </c>
      <c r="F24" s="7">
        <v>8.11</v>
      </c>
      <c r="G24" s="7">
        <v>6.7</v>
      </c>
    </row>
    <row r="25" spans="1:7" ht="15" x14ac:dyDescent="0.25">
      <c r="A25" s="3" t="s">
        <v>21</v>
      </c>
      <c r="B25" s="3" t="s">
        <v>39</v>
      </c>
      <c r="C25" s="7">
        <v>5.08</v>
      </c>
      <c r="D25" s="7">
        <v>3.25</v>
      </c>
      <c r="E25" s="7">
        <v>1.56</v>
      </c>
      <c r="F25" s="7">
        <v>1.52</v>
      </c>
      <c r="G25" s="7">
        <v>1.58</v>
      </c>
    </row>
    <row r="26" spans="1:7" ht="15" x14ac:dyDescent="0.25">
      <c r="A26" s="3" t="s">
        <v>21</v>
      </c>
      <c r="B26" s="3" t="s">
        <v>40</v>
      </c>
      <c r="C26" s="7">
        <v>12.68</v>
      </c>
      <c r="D26" s="7">
        <v>11.79</v>
      </c>
      <c r="E26" s="7">
        <v>10.78</v>
      </c>
      <c r="F26" s="7">
        <v>9.39</v>
      </c>
      <c r="G26" s="7">
        <v>8.1300000000000008</v>
      </c>
    </row>
    <row r="27" spans="1:7" ht="15" x14ac:dyDescent="0.25">
      <c r="A27" s="3" t="s">
        <v>21</v>
      </c>
      <c r="B27" s="3" t="s">
        <v>41</v>
      </c>
      <c r="C27" s="7">
        <v>12.17</v>
      </c>
      <c r="D27" s="7">
        <v>10.78</v>
      </c>
      <c r="E27" s="7">
        <v>8.83</v>
      </c>
      <c r="F27" s="7">
        <v>8.5299999999999994</v>
      </c>
      <c r="G27" s="7">
        <v>8.34</v>
      </c>
    </row>
    <row r="28" spans="1:7" ht="15" x14ac:dyDescent="0.25">
      <c r="A28" s="3" t="s">
        <v>21</v>
      </c>
      <c r="B28" s="3" t="s">
        <v>42</v>
      </c>
      <c r="C28" s="7">
        <v>11.19</v>
      </c>
      <c r="D28" s="7">
        <v>11.46</v>
      </c>
      <c r="E28" s="7">
        <v>9.5500000000000007</v>
      </c>
      <c r="F28" s="7">
        <v>8.83</v>
      </c>
      <c r="G28" s="7">
        <v>7.4</v>
      </c>
    </row>
    <row r="29" spans="1:7" ht="15" x14ac:dyDescent="0.25">
      <c r="A29" s="3" t="s">
        <v>21</v>
      </c>
      <c r="B29" s="3" t="s">
        <v>43</v>
      </c>
      <c r="C29" s="7">
        <v>10.97</v>
      </c>
      <c r="D29" s="7">
        <v>10.53</v>
      </c>
      <c r="E29" s="7">
        <v>8.42</v>
      </c>
      <c r="F29" s="7">
        <v>7.66</v>
      </c>
      <c r="G29" s="7">
        <v>6.29</v>
      </c>
    </row>
    <row r="30" spans="1:7" ht="15" x14ac:dyDescent="0.25">
      <c r="A30" s="3" t="s">
        <v>21</v>
      </c>
      <c r="B30" s="3" t="s">
        <v>44</v>
      </c>
      <c r="C30" s="7">
        <v>10.68</v>
      </c>
      <c r="D30" s="7">
        <v>10.88</v>
      </c>
      <c r="E30" s="7">
        <v>8.81</v>
      </c>
      <c r="F30" s="7">
        <v>7.9</v>
      </c>
      <c r="G30" s="7">
        <v>7.82</v>
      </c>
    </row>
    <row r="31" spans="1:7" ht="15" x14ac:dyDescent="0.25">
      <c r="A31" s="3" t="s">
        <v>21</v>
      </c>
      <c r="B31" s="3" t="s">
        <v>45</v>
      </c>
      <c r="C31" s="7">
        <v>9.8699999999999992</v>
      </c>
      <c r="D31" s="7">
        <v>9.76</v>
      </c>
      <c r="E31" s="7">
        <v>7.82</v>
      </c>
      <c r="F31" s="7">
        <v>6.97</v>
      </c>
      <c r="G31" s="7">
        <v>6.27</v>
      </c>
    </row>
    <row r="32" spans="1:7" ht="15" x14ac:dyDescent="0.25">
      <c r="A32" s="3" t="s">
        <v>21</v>
      </c>
      <c r="B32" s="3" t="s">
        <v>46</v>
      </c>
      <c r="C32" s="7">
        <v>13.3</v>
      </c>
      <c r="D32" s="7">
        <v>13.07</v>
      </c>
      <c r="E32" s="7">
        <v>10.77</v>
      </c>
      <c r="F32" s="7">
        <v>10.52</v>
      </c>
      <c r="G32" s="7">
        <v>8.9700000000000006</v>
      </c>
    </row>
    <row r="33" spans="1:13" ht="15" x14ac:dyDescent="0.25">
      <c r="A33" s="3" t="s">
        <v>21</v>
      </c>
      <c r="B33" s="3" t="s">
        <v>47</v>
      </c>
      <c r="C33" s="7">
        <v>7.99</v>
      </c>
      <c r="D33" s="7">
        <v>7.66</v>
      </c>
      <c r="E33" s="7">
        <v>6.62</v>
      </c>
      <c r="F33" s="7">
        <v>6.55</v>
      </c>
      <c r="G33" s="7">
        <v>6.49</v>
      </c>
    </row>
    <row r="34" spans="1:13" ht="15" x14ac:dyDescent="0.25">
      <c r="A34" s="3" t="s">
        <v>21</v>
      </c>
      <c r="B34" s="3" t="s">
        <v>48</v>
      </c>
      <c r="C34" s="7">
        <v>6.73</v>
      </c>
      <c r="D34" s="7">
        <v>6.09</v>
      </c>
      <c r="E34" s="7">
        <v>5.53</v>
      </c>
      <c r="F34" s="7">
        <v>5.43</v>
      </c>
      <c r="G34" s="7">
        <v>5.44</v>
      </c>
    </row>
    <row r="35" spans="1:13" ht="15" x14ac:dyDescent="0.25">
      <c r="A35" s="3" t="s">
        <v>49</v>
      </c>
      <c r="B35" s="3" t="s">
        <v>50</v>
      </c>
      <c r="C35" s="7">
        <v>9.15</v>
      </c>
      <c r="D35" s="7">
        <v>7.7</v>
      </c>
      <c r="E35" s="7">
        <v>9.24</v>
      </c>
      <c r="F35" s="7">
        <v>9.0500000000000007</v>
      </c>
      <c r="G35" s="7">
        <v>8.09</v>
      </c>
    </row>
    <row r="36" spans="1:13" ht="15" x14ac:dyDescent="0.25">
      <c r="A36" s="3" t="s">
        <v>49</v>
      </c>
      <c r="B36" s="3" t="s">
        <v>51</v>
      </c>
      <c r="C36" s="7">
        <v>9.6300000000000008</v>
      </c>
      <c r="D36" s="7">
        <v>7.86</v>
      </c>
      <c r="E36" s="7">
        <v>8.5500000000000007</v>
      </c>
      <c r="F36" s="7">
        <v>7.57</v>
      </c>
      <c r="G36" s="7">
        <v>6.23</v>
      </c>
    </row>
    <row r="37" spans="1:13" ht="15" x14ac:dyDescent="0.25">
      <c r="A37" s="3" t="s">
        <v>49</v>
      </c>
      <c r="B37" s="3" t="s">
        <v>52</v>
      </c>
      <c r="C37" s="7">
        <v>13.06</v>
      </c>
      <c r="D37" s="7">
        <v>9.06</v>
      </c>
      <c r="E37" s="7">
        <v>7.88</v>
      </c>
      <c r="F37" s="7">
        <v>6.94</v>
      </c>
      <c r="G37" s="7">
        <v>6.06</v>
      </c>
    </row>
    <row r="38" spans="1:13" ht="15" x14ac:dyDescent="0.25">
      <c r="A38" s="3" t="s">
        <v>49</v>
      </c>
      <c r="B38" s="3" t="s">
        <v>53</v>
      </c>
      <c r="C38" s="7">
        <v>12.22</v>
      </c>
      <c r="D38" s="7">
        <v>10.58</v>
      </c>
      <c r="E38" s="7">
        <v>10.61</v>
      </c>
      <c r="F38" s="7">
        <v>9.94</v>
      </c>
      <c r="G38" s="7">
        <v>9.18</v>
      </c>
    </row>
    <row r="39" spans="1:13" ht="15" x14ac:dyDescent="0.25">
      <c r="A39" s="3" t="s">
        <v>49</v>
      </c>
      <c r="B39" s="3" t="s">
        <v>54</v>
      </c>
      <c r="C39" s="7">
        <v>8.6300000000000008</v>
      </c>
      <c r="D39" s="7">
        <v>9.07</v>
      </c>
      <c r="E39" s="7">
        <v>7.16</v>
      </c>
      <c r="F39" s="7">
        <v>6.76</v>
      </c>
      <c r="G39" s="7">
        <v>5.92</v>
      </c>
    </row>
    <row r="40" spans="1:13" ht="15" x14ac:dyDescent="0.25">
      <c r="A40" s="3" t="s">
        <v>49</v>
      </c>
      <c r="B40" s="3" t="s">
        <v>55</v>
      </c>
      <c r="C40" s="7">
        <v>12.69</v>
      </c>
      <c r="D40" s="7">
        <v>10.130000000000001</v>
      </c>
      <c r="E40" s="7">
        <v>8.1</v>
      </c>
      <c r="F40" s="7">
        <v>7.25</v>
      </c>
      <c r="G40" s="7">
        <v>6.08</v>
      </c>
    </row>
    <row r="41" spans="1:13" ht="15" x14ac:dyDescent="0.25">
      <c r="A41" s="3" t="s">
        <v>49</v>
      </c>
      <c r="B41" s="3" t="s">
        <v>56</v>
      </c>
      <c r="C41" s="7">
        <v>9.26</v>
      </c>
      <c r="D41" s="7">
        <v>9.41</v>
      </c>
      <c r="E41" s="7">
        <v>8.17</v>
      </c>
      <c r="F41" s="7">
        <v>7.45</v>
      </c>
      <c r="G41" s="7">
        <v>7.12</v>
      </c>
    </row>
    <row r="42" spans="1:13" ht="15" x14ac:dyDescent="0.25">
      <c r="A42" s="3" t="s">
        <v>49</v>
      </c>
      <c r="B42" s="3" t="s">
        <v>57</v>
      </c>
      <c r="C42" s="7">
        <v>8.48</v>
      </c>
      <c r="D42" s="7">
        <v>8.6</v>
      </c>
      <c r="E42" s="7">
        <v>6.59</v>
      </c>
      <c r="F42" s="7">
        <v>5.81</v>
      </c>
      <c r="G42" s="7">
        <v>5.09</v>
      </c>
    </row>
    <row r="43" spans="1:13" x14ac:dyDescent="0.2">
      <c r="H43" t="s">
        <v>61</v>
      </c>
      <c r="I43">
        <f>MIN(C2:C42)</f>
        <v>5.08</v>
      </c>
      <c r="J43">
        <f t="shared" ref="J43:M43" si="0">MIN(D2:D42)</f>
        <v>3.25</v>
      </c>
      <c r="K43">
        <f t="shared" si="0"/>
        <v>1.56</v>
      </c>
      <c r="L43">
        <f t="shared" si="0"/>
        <v>1.52</v>
      </c>
      <c r="M43">
        <f t="shared" si="0"/>
        <v>1.58</v>
      </c>
    </row>
    <row r="44" spans="1:13" x14ac:dyDescent="0.2">
      <c r="H44" t="s">
        <v>59</v>
      </c>
      <c r="I44">
        <f>AVERAGE(C2:C42)</f>
        <v>10.123170731707319</v>
      </c>
      <c r="J44">
        <f t="shared" ref="J44:M44" si="1">AVERAGE(D2:D42)</f>
        <v>9.1958536585365867</v>
      </c>
      <c r="K44">
        <f t="shared" si="1"/>
        <v>7.8156097560975635</v>
      </c>
      <c r="L44">
        <f t="shared" si="1"/>
        <v>7.2041463414634164</v>
      </c>
      <c r="M44">
        <f t="shared" si="1"/>
        <v>6.5521951219512191</v>
      </c>
    </row>
    <row r="45" spans="1:13" x14ac:dyDescent="0.2">
      <c r="H45" t="s">
        <v>60</v>
      </c>
      <c r="I45">
        <f>MAX(C2:C42)</f>
        <v>14.29</v>
      </c>
      <c r="J45">
        <f t="shared" ref="J45:M45" si="2">MAX(D2:D42)</f>
        <v>13.07</v>
      </c>
      <c r="K45">
        <f t="shared" si="2"/>
        <v>10.78</v>
      </c>
      <c r="L45">
        <f t="shared" si="2"/>
        <v>10.52</v>
      </c>
      <c r="M45">
        <f t="shared" si="2"/>
        <v>9.18</v>
      </c>
    </row>
    <row r="46" spans="1:13" x14ac:dyDescent="0.2">
      <c r="H46" t="s">
        <v>62</v>
      </c>
      <c r="I46" s="9" t="s">
        <v>63</v>
      </c>
    </row>
    <row r="47" spans="1:13" x14ac:dyDescent="0.2">
      <c r="I47" s="9" t="s">
        <v>64</v>
      </c>
    </row>
    <row r="48" spans="1:13" x14ac:dyDescent="0.2">
      <c r="I48" s="9" t="s">
        <v>65</v>
      </c>
    </row>
  </sheetData>
  <hyperlinks>
    <hyperlink ref="I46" r:id="rId1" display="https://jabar.bps.go.id/id/statistics-table/2/NzMjMg==/tingkat-pengangguran-terbuka-kabupaten-kota.html" xr:uid="{725723F6-4B28-4F69-AD80-DD91EDAFA4A9}"/>
    <hyperlink ref="I47" r:id="rId2" display="https://banten.bps.go.id/id/statistics-table/2/MTU3IzI=/tingkat-pengangguran-terbuka-tpt-menurut-kabupaten-kota.html" xr:uid="{1B41E43B-5D77-4ECE-8DD5-987D44A8AA2B}"/>
    <hyperlink ref="I48" r:id="rId3" display="https://jakarta.bps.go.id/id/statistics-table/2/ODQjMg==/tingkat-pengangguran-terbuka-tpt-provinsi-dki-jakarta-menurut-kabupaten-kota.html" xr:uid="{5090490F-11AB-466A-BA60-72BE89FFF498}"/>
  </hyperlinks>
  <pageMargins left="0.7" right="0.7" top="0.75" bottom="0.75" header="0.3" footer="0.3"/>
  <ignoredErrors>
    <ignoredError sqref="I44:M44 I43 J43:M43 I45 J45:M4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</vt:i4>
      </vt:variant>
    </vt:vector>
  </HeadingPairs>
  <TitlesOfParts>
    <vt:vector size="10" baseType="lpstr">
      <vt:lpstr>2020</vt:lpstr>
      <vt:lpstr>2021</vt:lpstr>
      <vt:lpstr>2022</vt:lpstr>
      <vt:lpstr>2023</vt:lpstr>
      <vt:lpstr>2024</vt:lpstr>
      <vt:lpstr>PKKP</vt:lpstr>
      <vt:lpstr>PPM</vt:lpstr>
      <vt:lpstr>PDRB_ADHK</vt:lpstr>
      <vt:lpstr>PPDRB_ADHK</vt:lpstr>
      <vt:lpstr>TPT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2025-11-27T13:19:45Z</dcterms:modified>
</cp:coreProperties>
</file>