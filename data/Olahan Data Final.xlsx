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kripsi\my\data\"/>
    </mc:Choice>
  </mc:AlternateContent>
  <xr:revisionPtr revIDLastSave="0" documentId="13_ncr:1_{7FAE4936-3008-4AEA-9ADA-5DBCEDA9D5D0}" xr6:coauthVersionLast="47" xr6:coauthVersionMax="47" xr10:uidLastSave="{00000000-0000-0000-0000-000000000000}"/>
  <bookViews>
    <workbookView xWindow="-120" yWindow="-120" windowWidth="29040" windowHeight="17520" activeTab="12" xr2:uid="{00000000-000D-0000-FFFF-FFFF00000000}"/>
  </bookViews>
  <sheets>
    <sheet name="2020" sheetId="1" r:id="rId1"/>
    <sheet name="Bobot 2020" sheetId="12" r:id="rId2"/>
    <sheet name="Quartile" sheetId="14" r:id="rId3"/>
    <sheet name="2021" sheetId="2" r:id="rId4"/>
    <sheet name="2022" sheetId="3" r:id="rId5"/>
    <sheet name="2023" sheetId="4" r:id="rId6"/>
    <sheet name="2024" sheetId="5" r:id="rId7"/>
    <sheet name="PKKP" sheetId="10" r:id="rId8"/>
    <sheet name="PPM" sheetId="8" r:id="rId9"/>
    <sheet name="PDRB_ADHK" sheetId="9" r:id="rId10"/>
    <sheet name="PPDRB_ADHK" sheetId="6" r:id="rId11"/>
    <sheet name="TPT" sheetId="7" r:id="rId12"/>
    <sheet name="Bobot M" sheetId="11" r:id="rId13"/>
    <sheet name="Lembar3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12" l="1"/>
  <c r="AA13" i="12"/>
  <c r="X13" i="12"/>
  <c r="W13" i="12"/>
  <c r="U13" i="12"/>
  <c r="T13" i="12"/>
  <c r="S13" i="12"/>
  <c r="Q13" i="12"/>
  <c r="AB12" i="12"/>
  <c r="AA12" i="12"/>
  <c r="W12" i="12"/>
  <c r="T12" i="12"/>
  <c r="S12" i="12"/>
  <c r="R12" i="12"/>
  <c r="Q12" i="12"/>
  <c r="AB11" i="12"/>
  <c r="Z13" i="12" s="1"/>
  <c r="AA11" i="12"/>
  <c r="Z12" i="12" s="1"/>
  <c r="Z11" i="12"/>
  <c r="S11" i="12"/>
  <c r="AB10" i="12"/>
  <c r="Y13" i="12" s="1"/>
  <c r="AA10" i="12"/>
  <c r="Y12" i="12" s="1"/>
  <c r="Z10" i="12"/>
  <c r="Y11" i="12" s="1"/>
  <c r="Y10" i="12"/>
  <c r="X10" i="12"/>
  <c r="W10" i="12"/>
  <c r="V10" i="12"/>
  <c r="AB9" i="12"/>
  <c r="AA9" i="12"/>
  <c r="X12" i="12" s="1"/>
  <c r="Z9" i="12"/>
  <c r="X11" i="12" s="1"/>
  <c r="Y9" i="12"/>
  <c r="X9" i="12"/>
  <c r="W9" i="12"/>
  <c r="V9" i="12"/>
  <c r="T9" i="12"/>
  <c r="S9" i="12"/>
  <c r="R9" i="12"/>
  <c r="AB8" i="12"/>
  <c r="AA8" i="12"/>
  <c r="Z8" i="12"/>
  <c r="W11" i="12" s="1"/>
  <c r="Y8" i="12"/>
  <c r="X8" i="12"/>
  <c r="W8" i="12"/>
  <c r="V8" i="12"/>
  <c r="S8" i="12"/>
  <c r="R8" i="12"/>
  <c r="Q8" i="12"/>
  <c r="AB7" i="12"/>
  <c r="V13" i="12" s="1"/>
  <c r="AA7" i="12"/>
  <c r="V12" i="12" s="1"/>
  <c r="Z7" i="12"/>
  <c r="V11" i="12" s="1"/>
  <c r="Y7" i="12"/>
  <c r="X7" i="12"/>
  <c r="W7" i="12"/>
  <c r="V7" i="12"/>
  <c r="R7" i="12"/>
  <c r="AB6" i="12"/>
  <c r="AA6" i="12"/>
  <c r="U12" i="12" s="1"/>
  <c r="Z6" i="12"/>
  <c r="U11" i="12" s="1"/>
  <c r="Y6" i="12"/>
  <c r="U10" i="12" s="1"/>
  <c r="X6" i="12"/>
  <c r="U9" i="12" s="1"/>
  <c r="W6" i="12"/>
  <c r="U8" i="12" s="1"/>
  <c r="V6" i="12"/>
  <c r="U7" i="12" s="1"/>
  <c r="U6" i="12"/>
  <c r="R6" i="12"/>
  <c r="AB5" i="12"/>
  <c r="AA5" i="12"/>
  <c r="Z5" i="12"/>
  <c r="T11" i="12" s="1"/>
  <c r="Y5" i="12"/>
  <c r="T10" i="12" s="1"/>
  <c r="X5" i="12"/>
  <c r="W5" i="12"/>
  <c r="T8" i="12" s="1"/>
  <c r="V5" i="12"/>
  <c r="T7" i="12" s="1"/>
  <c r="U5" i="12"/>
  <c r="T6" i="12" s="1"/>
  <c r="T5" i="12"/>
  <c r="S5" i="12"/>
  <c r="R5" i="12"/>
  <c r="Q5" i="12"/>
  <c r="AB4" i="12"/>
  <c r="AA4" i="12"/>
  <c r="Z4" i="12"/>
  <c r="Y4" i="12"/>
  <c r="S10" i="12" s="1"/>
  <c r="X4" i="12"/>
  <c r="W4" i="12"/>
  <c r="V4" i="12"/>
  <c r="S7" i="12" s="1"/>
  <c r="U4" i="12"/>
  <c r="S6" i="12" s="1"/>
  <c r="T4" i="12"/>
  <c r="S4" i="12"/>
  <c r="R4" i="12"/>
  <c r="Q4" i="12"/>
  <c r="AB3" i="12"/>
  <c r="R13" i="12" s="1"/>
  <c r="AA3" i="12"/>
  <c r="Z3" i="12"/>
  <c r="R11" i="12" s="1"/>
  <c r="Y3" i="12"/>
  <c r="R10" i="12" s="1"/>
  <c r="X3" i="12"/>
  <c r="W3" i="12"/>
  <c r="V3" i="12"/>
  <c r="U3" i="12"/>
  <c r="T3" i="12"/>
  <c r="S3" i="12"/>
  <c r="R3" i="12"/>
  <c r="Q3" i="12"/>
  <c r="AB2" i="12"/>
  <c r="AA2" i="12"/>
  <c r="Z2" i="12"/>
  <c r="Q11" i="12" s="1"/>
  <c r="Y2" i="12"/>
  <c r="Q10" i="12" s="1"/>
  <c r="X2" i="12"/>
  <c r="Q9" i="12" s="1"/>
  <c r="W2" i="12"/>
  <c r="V2" i="12"/>
  <c r="Q7" i="12" s="1"/>
  <c r="U2" i="12"/>
  <c r="Q6" i="12" s="1"/>
  <c r="T2" i="12"/>
  <c r="S2" i="12"/>
  <c r="R2" i="12"/>
  <c r="Q2" i="12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O45" i="1"/>
  <c r="N45" i="1"/>
  <c r="M45" i="1"/>
  <c r="L45" i="1"/>
  <c r="K45" i="1"/>
  <c r="J45" i="1"/>
  <c r="I45" i="1"/>
  <c r="H45" i="1"/>
  <c r="G45" i="1"/>
  <c r="F45" i="1"/>
  <c r="E45" i="1"/>
  <c r="D45" i="1"/>
  <c r="O44" i="1"/>
  <c r="N44" i="1"/>
  <c r="M44" i="1"/>
  <c r="L44" i="1"/>
  <c r="G44" i="1"/>
  <c r="F44" i="1"/>
  <c r="E44" i="1"/>
  <c r="D44" i="1"/>
  <c r="O43" i="1"/>
  <c r="N43" i="1"/>
  <c r="M43" i="1"/>
  <c r="L43" i="1"/>
  <c r="K43" i="1"/>
  <c r="K44" i="1" s="1"/>
  <c r="J43" i="1"/>
  <c r="J44" i="1" s="1"/>
  <c r="I43" i="1"/>
  <c r="I44" i="1" s="1"/>
  <c r="H43" i="1"/>
  <c r="H44" i="1" s="1"/>
  <c r="G43" i="1"/>
  <c r="F43" i="1"/>
  <c r="E43" i="1"/>
  <c r="D43" i="1"/>
  <c r="C45" i="1"/>
  <c r="C44" i="1"/>
  <c r="AB13" i="1"/>
  <c r="Z13" i="1"/>
  <c r="X13" i="1"/>
  <c r="R13" i="1"/>
  <c r="Q13" i="1"/>
  <c r="AB12" i="1"/>
  <c r="AA13" i="1" s="1"/>
  <c r="AA12" i="1"/>
  <c r="X12" i="1"/>
  <c r="W12" i="1"/>
  <c r="V12" i="1"/>
  <c r="U12" i="1"/>
  <c r="T12" i="1"/>
  <c r="S12" i="1"/>
  <c r="AB11" i="1"/>
  <c r="AA11" i="1"/>
  <c r="Z12" i="1" s="1"/>
  <c r="Z11" i="1"/>
  <c r="X11" i="1"/>
  <c r="T11" i="1"/>
  <c r="S11" i="1"/>
  <c r="R11" i="1"/>
  <c r="Q11" i="1"/>
  <c r="AB10" i="1"/>
  <c r="Y13" i="1" s="1"/>
  <c r="AA10" i="1"/>
  <c r="Y12" i="1" s="1"/>
  <c r="Z10" i="1"/>
  <c r="Y11" i="1" s="1"/>
  <c r="Y10" i="1"/>
  <c r="X10" i="1"/>
  <c r="W10" i="1"/>
  <c r="AB9" i="1"/>
  <c r="AA9" i="1"/>
  <c r="Z9" i="1"/>
  <c r="Y9" i="1"/>
  <c r="X9" i="1"/>
  <c r="W9" i="1"/>
  <c r="U9" i="1"/>
  <c r="T9" i="1"/>
  <c r="R9" i="1"/>
  <c r="Q9" i="1"/>
  <c r="AB8" i="1"/>
  <c r="W13" i="1" s="1"/>
  <c r="AA8" i="1"/>
  <c r="Z8" i="1"/>
  <c r="W11" i="1" s="1"/>
  <c r="Y8" i="1"/>
  <c r="X8" i="1"/>
  <c r="W8" i="1"/>
  <c r="V8" i="1"/>
  <c r="T8" i="1"/>
  <c r="S8" i="1"/>
  <c r="R8" i="1"/>
  <c r="Q8" i="1"/>
  <c r="AB7" i="1"/>
  <c r="V13" i="1" s="1"/>
  <c r="AA7" i="1"/>
  <c r="Z7" i="1"/>
  <c r="V11" i="1" s="1"/>
  <c r="Y7" i="1"/>
  <c r="V10" i="1" s="1"/>
  <c r="X7" i="1"/>
  <c r="V9" i="1" s="1"/>
  <c r="W7" i="1"/>
  <c r="V7" i="1"/>
  <c r="S7" i="1"/>
  <c r="R7" i="1"/>
  <c r="AB6" i="1"/>
  <c r="U13" i="1" s="1"/>
  <c r="AA6" i="1"/>
  <c r="Z6" i="1"/>
  <c r="U11" i="1" s="1"/>
  <c r="Y6" i="1"/>
  <c r="U10" i="1" s="1"/>
  <c r="X6" i="1"/>
  <c r="W6" i="1"/>
  <c r="U8" i="1" s="1"/>
  <c r="V6" i="1"/>
  <c r="U7" i="1" s="1"/>
  <c r="U6" i="1"/>
  <c r="T6" i="1"/>
  <c r="AB5" i="1"/>
  <c r="T13" i="1" s="1"/>
  <c r="AA5" i="1"/>
  <c r="Z5" i="1"/>
  <c r="Y5" i="1"/>
  <c r="T10" i="1" s="1"/>
  <c r="X5" i="1"/>
  <c r="W5" i="1"/>
  <c r="V5" i="1"/>
  <c r="T7" i="1" s="1"/>
  <c r="U5" i="1"/>
  <c r="T5" i="1"/>
  <c r="S5" i="1"/>
  <c r="AB4" i="1"/>
  <c r="S13" i="1" s="1"/>
  <c r="AA4" i="1"/>
  <c r="Z4" i="1"/>
  <c r="Y4" i="1"/>
  <c r="S10" i="1" s="1"/>
  <c r="X4" i="1"/>
  <c r="S9" i="1" s="1"/>
  <c r="W4" i="1"/>
  <c r="V4" i="1"/>
  <c r="U4" i="1"/>
  <c r="S6" i="1" s="1"/>
  <c r="T4" i="1"/>
  <c r="S4" i="1"/>
  <c r="R4" i="1"/>
  <c r="Q4" i="1"/>
  <c r="AB3" i="1"/>
  <c r="AA3" i="1"/>
  <c r="R12" i="1" s="1"/>
  <c r="Z3" i="1"/>
  <c r="Y3" i="1"/>
  <c r="R10" i="1" s="1"/>
  <c r="X3" i="1"/>
  <c r="W3" i="1"/>
  <c r="V3" i="1"/>
  <c r="U3" i="1"/>
  <c r="R6" i="1" s="1"/>
  <c r="T3" i="1"/>
  <c r="R5" i="1" s="1"/>
  <c r="S3" i="1"/>
  <c r="R3" i="1"/>
  <c r="Q3" i="1"/>
  <c r="AB2" i="1"/>
  <c r="AA2" i="1"/>
  <c r="Q12" i="1" s="1"/>
  <c r="Z2" i="1"/>
  <c r="Y2" i="1"/>
  <c r="Q10" i="1" s="1"/>
  <c r="X2" i="1"/>
  <c r="W2" i="1"/>
  <c r="V2" i="1"/>
  <c r="Q7" i="1" s="1"/>
  <c r="U2" i="1"/>
  <c r="Q6" i="1" s="1"/>
  <c r="T2" i="1"/>
  <c r="Q5" i="1" s="1"/>
  <c r="S2" i="1"/>
  <c r="R2" i="1"/>
  <c r="Q2" i="1"/>
  <c r="L58" i="2"/>
  <c r="K57" i="2"/>
  <c r="J58" i="2"/>
  <c r="J57" i="2"/>
  <c r="H58" i="2"/>
  <c r="H55" i="2"/>
  <c r="G57" i="2"/>
  <c r="E53" i="2"/>
  <c r="D58" i="2"/>
  <c r="J49" i="2"/>
  <c r="D55" i="2" s="1"/>
  <c r="D53" i="2"/>
  <c r="E59" i="2"/>
  <c r="F59" i="2"/>
  <c r="G59" i="2"/>
  <c r="I59" i="2"/>
  <c r="J59" i="2"/>
  <c r="C50" i="2"/>
  <c r="C49" i="2"/>
  <c r="N48" i="2"/>
  <c r="C59" i="2" s="1"/>
  <c r="N49" i="2"/>
  <c r="D59" i="2" s="1"/>
  <c r="M48" i="2"/>
  <c r="C58" i="2" s="1"/>
  <c r="N50" i="2"/>
  <c r="M49" i="2"/>
  <c r="L48" i="2"/>
  <c r="C57" i="2" s="1"/>
  <c r="N51" i="2"/>
  <c r="M50" i="2"/>
  <c r="E58" i="2" s="1"/>
  <c r="L49" i="2"/>
  <c r="D57" i="2" s="1"/>
  <c r="K48" i="2"/>
  <c r="C56" i="2" s="1"/>
  <c r="J48" i="2"/>
  <c r="C55" i="2" s="1"/>
  <c r="N52" i="2"/>
  <c r="M51" i="2"/>
  <c r="F58" i="2" s="1"/>
  <c r="L50" i="2"/>
  <c r="E57" i="2" s="1"/>
  <c r="K49" i="2"/>
  <c r="D56" i="2" s="1"/>
  <c r="I48" i="2"/>
  <c r="C54" i="2" s="1"/>
  <c r="N53" i="2"/>
  <c r="H59" i="2" s="1"/>
  <c r="M52" i="2"/>
  <c r="G58" i="2" s="1"/>
  <c r="L51" i="2"/>
  <c r="F57" i="2" s="1"/>
  <c r="K50" i="2"/>
  <c r="E56" i="2" s="1"/>
  <c r="H48" i="2"/>
  <c r="C53" i="2" s="1"/>
  <c r="N54" i="2"/>
  <c r="M53" i="2"/>
  <c r="L52" i="2"/>
  <c r="K51" i="2"/>
  <c r="F56" i="2" s="1"/>
  <c r="J50" i="2"/>
  <c r="E55" i="2" s="1"/>
  <c r="I49" i="2"/>
  <c r="D54" i="2" s="1"/>
  <c r="G48" i="2"/>
  <c r="C52" i="2" s="1"/>
  <c r="N55" i="2"/>
  <c r="M54" i="2"/>
  <c r="I58" i="2" s="1"/>
  <c r="L53" i="2"/>
  <c r="H57" i="2" s="1"/>
  <c r="K52" i="2"/>
  <c r="G56" i="2" s="1"/>
  <c r="J51" i="2"/>
  <c r="F55" i="2" s="1"/>
  <c r="I50" i="2"/>
  <c r="E54" i="2" s="1"/>
  <c r="H49" i="2"/>
  <c r="F48" i="2"/>
  <c r="C51" i="2" s="1"/>
  <c r="N56" i="2"/>
  <c r="K59" i="2" s="1"/>
  <c r="M55" i="2"/>
  <c r="L54" i="2"/>
  <c r="I57" i="2" s="1"/>
  <c r="K53" i="2"/>
  <c r="H56" i="2" s="1"/>
  <c r="J52" i="2"/>
  <c r="G55" i="2" s="1"/>
  <c r="I51" i="2"/>
  <c r="F54" i="2" s="1"/>
  <c r="H50" i="2"/>
  <c r="G49" i="2"/>
  <c r="D52" i="2" s="1"/>
  <c r="F49" i="2"/>
  <c r="D51" i="2" s="1"/>
  <c r="E48" i="2"/>
  <c r="N57" i="2"/>
  <c r="L59" i="2" s="1"/>
  <c r="M56" i="2"/>
  <c r="K58" i="2" s="1"/>
  <c r="L55" i="2"/>
  <c r="K54" i="2"/>
  <c r="I56" i="2" s="1"/>
  <c r="J53" i="2"/>
  <c r="I52" i="2"/>
  <c r="G54" i="2" s="1"/>
  <c r="H51" i="2"/>
  <c r="F53" i="2" s="1"/>
  <c r="G50" i="2"/>
  <c r="E52" i="2" s="1"/>
  <c r="D48" i="2"/>
  <c r="N58" i="2"/>
  <c r="M59" i="2" s="1"/>
  <c r="M57" i="2"/>
  <c r="L56" i="2"/>
  <c r="K55" i="2"/>
  <c r="J56" i="2" s="1"/>
  <c r="J54" i="2"/>
  <c r="I55" i="2" s="1"/>
  <c r="I53" i="2"/>
  <c r="H54" i="2" s="1"/>
  <c r="H52" i="2"/>
  <c r="G53" i="2" s="1"/>
  <c r="G51" i="2"/>
  <c r="F52" i="2" s="1"/>
  <c r="F50" i="2"/>
  <c r="E51" i="2" s="1"/>
  <c r="E49" i="2"/>
  <c r="D50" i="2" s="1"/>
  <c r="N59" i="2"/>
  <c r="M58" i="2"/>
  <c r="L57" i="2"/>
  <c r="K56" i="2"/>
  <c r="J55" i="2"/>
  <c r="I54" i="2"/>
  <c r="H53" i="2"/>
  <c r="G52" i="2"/>
  <c r="F51" i="2"/>
  <c r="E50" i="2"/>
  <c r="D49" i="2"/>
  <c r="C48" i="2"/>
  <c r="C2" i="12"/>
  <c r="D44" i="12"/>
  <c r="E44" i="12"/>
  <c r="F44" i="12"/>
  <c r="G44" i="12"/>
  <c r="H44" i="12"/>
  <c r="I44" i="12"/>
  <c r="J44" i="12"/>
  <c r="K44" i="12"/>
  <c r="L44" i="12"/>
  <c r="M44" i="12"/>
  <c r="N44" i="12"/>
  <c r="J43" i="11"/>
  <c r="K3" i="12"/>
  <c r="L3" i="12"/>
  <c r="M3" i="12"/>
  <c r="N3" i="12"/>
  <c r="K4" i="12"/>
  <c r="L4" i="12"/>
  <c r="M4" i="12"/>
  <c r="N4" i="12"/>
  <c r="K5" i="12"/>
  <c r="L5" i="12"/>
  <c r="M5" i="12"/>
  <c r="N5" i="12"/>
  <c r="K6" i="12"/>
  <c r="L6" i="12"/>
  <c r="M6" i="12"/>
  <c r="N6" i="12"/>
  <c r="K7" i="12"/>
  <c r="L7" i="12"/>
  <c r="M7" i="12"/>
  <c r="N7" i="12"/>
  <c r="K8" i="12"/>
  <c r="L8" i="12"/>
  <c r="M8" i="12"/>
  <c r="N8" i="12"/>
  <c r="K9" i="12"/>
  <c r="L9" i="12"/>
  <c r="M9" i="12"/>
  <c r="N9" i="12"/>
  <c r="K10" i="12"/>
  <c r="L10" i="12"/>
  <c r="M10" i="12"/>
  <c r="N10" i="12"/>
  <c r="K11" i="12"/>
  <c r="L11" i="12"/>
  <c r="M11" i="12"/>
  <c r="N11" i="12"/>
  <c r="K12" i="12"/>
  <c r="L12" i="12"/>
  <c r="M12" i="12"/>
  <c r="N12" i="12"/>
  <c r="K13" i="12"/>
  <c r="L13" i="12"/>
  <c r="M13" i="12"/>
  <c r="N13" i="12"/>
  <c r="K14" i="12"/>
  <c r="L14" i="12"/>
  <c r="M14" i="12"/>
  <c r="N14" i="12"/>
  <c r="K15" i="12"/>
  <c r="L15" i="12"/>
  <c r="M15" i="12"/>
  <c r="N15" i="12"/>
  <c r="K16" i="12"/>
  <c r="L16" i="12"/>
  <c r="M16" i="12"/>
  <c r="N16" i="12"/>
  <c r="K17" i="12"/>
  <c r="L17" i="12"/>
  <c r="M17" i="12"/>
  <c r="N17" i="12"/>
  <c r="K18" i="12"/>
  <c r="L18" i="12"/>
  <c r="M18" i="12"/>
  <c r="N18" i="12"/>
  <c r="K19" i="12"/>
  <c r="L19" i="12"/>
  <c r="M19" i="12"/>
  <c r="N19" i="12"/>
  <c r="K20" i="12"/>
  <c r="L20" i="12"/>
  <c r="M20" i="12"/>
  <c r="N20" i="12"/>
  <c r="K21" i="12"/>
  <c r="L21" i="12"/>
  <c r="M21" i="12"/>
  <c r="N21" i="12"/>
  <c r="K22" i="12"/>
  <c r="L22" i="12"/>
  <c r="M22" i="12"/>
  <c r="N22" i="12"/>
  <c r="K23" i="12"/>
  <c r="L23" i="12"/>
  <c r="M23" i="12"/>
  <c r="N23" i="12"/>
  <c r="K24" i="12"/>
  <c r="L24" i="12"/>
  <c r="M24" i="12"/>
  <c r="N24" i="12"/>
  <c r="K25" i="12"/>
  <c r="L25" i="12"/>
  <c r="M25" i="12"/>
  <c r="N25" i="12"/>
  <c r="K26" i="12"/>
  <c r="L26" i="12"/>
  <c r="M26" i="12"/>
  <c r="N26" i="12"/>
  <c r="K27" i="12"/>
  <c r="L27" i="12"/>
  <c r="M27" i="12"/>
  <c r="N27" i="12"/>
  <c r="K28" i="12"/>
  <c r="L28" i="12"/>
  <c r="M28" i="12"/>
  <c r="N28" i="12"/>
  <c r="K29" i="12"/>
  <c r="L29" i="12"/>
  <c r="M29" i="12"/>
  <c r="N29" i="12"/>
  <c r="K30" i="12"/>
  <c r="L30" i="12"/>
  <c r="M30" i="12"/>
  <c r="N30" i="12"/>
  <c r="K31" i="12"/>
  <c r="L31" i="12"/>
  <c r="M31" i="12"/>
  <c r="N31" i="12"/>
  <c r="K32" i="12"/>
  <c r="L32" i="12"/>
  <c r="M32" i="12"/>
  <c r="N32" i="12"/>
  <c r="K33" i="12"/>
  <c r="L33" i="12"/>
  <c r="M33" i="12"/>
  <c r="N33" i="12"/>
  <c r="K34" i="12"/>
  <c r="L34" i="12"/>
  <c r="M34" i="12"/>
  <c r="N34" i="12"/>
  <c r="K35" i="12"/>
  <c r="L35" i="12"/>
  <c r="M35" i="12"/>
  <c r="N35" i="12"/>
  <c r="K36" i="12"/>
  <c r="L36" i="12"/>
  <c r="M36" i="12"/>
  <c r="N36" i="12"/>
  <c r="K37" i="12"/>
  <c r="L37" i="12"/>
  <c r="M37" i="12"/>
  <c r="N37" i="12"/>
  <c r="K38" i="12"/>
  <c r="L38" i="12"/>
  <c r="M38" i="12"/>
  <c r="N38" i="12"/>
  <c r="K39" i="12"/>
  <c r="L39" i="12"/>
  <c r="M39" i="12"/>
  <c r="N39" i="12"/>
  <c r="K40" i="12"/>
  <c r="L40" i="12"/>
  <c r="M40" i="12"/>
  <c r="N40" i="12"/>
  <c r="K41" i="12"/>
  <c r="L41" i="12"/>
  <c r="M41" i="12"/>
  <c r="N41" i="12"/>
  <c r="K42" i="12"/>
  <c r="L42" i="12"/>
  <c r="M42" i="12"/>
  <c r="N42" i="12"/>
  <c r="L2" i="12"/>
  <c r="M2" i="12"/>
  <c r="N2" i="12"/>
  <c r="C30" i="12"/>
  <c r="D30" i="12"/>
  <c r="E30" i="12"/>
  <c r="F30" i="12"/>
  <c r="G30" i="12"/>
  <c r="H30" i="12"/>
  <c r="I30" i="12"/>
  <c r="J30" i="12"/>
  <c r="C31" i="12"/>
  <c r="D31" i="12"/>
  <c r="E31" i="12"/>
  <c r="F31" i="12"/>
  <c r="G31" i="12"/>
  <c r="H31" i="12"/>
  <c r="I31" i="12"/>
  <c r="J31" i="12"/>
  <c r="C32" i="12"/>
  <c r="D32" i="12"/>
  <c r="E32" i="12"/>
  <c r="F32" i="12"/>
  <c r="G32" i="12"/>
  <c r="H32" i="12"/>
  <c r="I32" i="12"/>
  <c r="J32" i="12"/>
  <c r="C33" i="12"/>
  <c r="D33" i="12"/>
  <c r="E33" i="12"/>
  <c r="F33" i="12"/>
  <c r="G33" i="12"/>
  <c r="H33" i="12"/>
  <c r="I33" i="12"/>
  <c r="J33" i="12"/>
  <c r="C34" i="12"/>
  <c r="D34" i="12"/>
  <c r="E34" i="12"/>
  <c r="F34" i="12"/>
  <c r="G34" i="12"/>
  <c r="H34" i="12"/>
  <c r="I34" i="12"/>
  <c r="J34" i="12"/>
  <c r="C35" i="12"/>
  <c r="D35" i="12"/>
  <c r="E35" i="12"/>
  <c r="F35" i="12"/>
  <c r="G35" i="12"/>
  <c r="H35" i="12"/>
  <c r="I35" i="12"/>
  <c r="J35" i="12"/>
  <c r="C36" i="12"/>
  <c r="D36" i="12"/>
  <c r="E36" i="12"/>
  <c r="F36" i="12"/>
  <c r="G36" i="12"/>
  <c r="H36" i="12"/>
  <c r="I36" i="12"/>
  <c r="J36" i="12"/>
  <c r="C37" i="12"/>
  <c r="D37" i="12"/>
  <c r="E37" i="12"/>
  <c r="F37" i="12"/>
  <c r="G37" i="12"/>
  <c r="H37" i="12"/>
  <c r="I37" i="12"/>
  <c r="J37" i="12"/>
  <c r="C38" i="12"/>
  <c r="D38" i="12"/>
  <c r="E38" i="12"/>
  <c r="F38" i="12"/>
  <c r="G38" i="12"/>
  <c r="H38" i="12"/>
  <c r="I38" i="12"/>
  <c r="J38" i="12"/>
  <c r="C39" i="12"/>
  <c r="D39" i="12"/>
  <c r="E39" i="12"/>
  <c r="F39" i="12"/>
  <c r="G39" i="12"/>
  <c r="H39" i="12"/>
  <c r="I39" i="12"/>
  <c r="J39" i="12"/>
  <c r="C40" i="12"/>
  <c r="D40" i="12"/>
  <c r="E40" i="12"/>
  <c r="F40" i="12"/>
  <c r="G40" i="12"/>
  <c r="H40" i="12"/>
  <c r="I40" i="12"/>
  <c r="J40" i="12"/>
  <c r="C41" i="12"/>
  <c r="D41" i="12"/>
  <c r="E41" i="12"/>
  <c r="F41" i="12"/>
  <c r="G41" i="12"/>
  <c r="H41" i="12"/>
  <c r="I41" i="12"/>
  <c r="J41" i="12"/>
  <c r="C42" i="12"/>
  <c r="D42" i="12"/>
  <c r="E42" i="12"/>
  <c r="F42" i="12"/>
  <c r="G42" i="12"/>
  <c r="H42" i="12"/>
  <c r="I42" i="12"/>
  <c r="J42" i="12"/>
  <c r="I2" i="12"/>
  <c r="J2" i="12"/>
  <c r="J43" i="12" s="1"/>
  <c r="K2" i="12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I27" i="12"/>
  <c r="J27" i="12"/>
  <c r="I28" i="12"/>
  <c r="J28" i="12"/>
  <c r="I29" i="12"/>
  <c r="J29" i="12"/>
  <c r="C15" i="12"/>
  <c r="D15" i="12"/>
  <c r="E15" i="12"/>
  <c r="F15" i="12"/>
  <c r="G15" i="12"/>
  <c r="H15" i="12"/>
  <c r="C16" i="12"/>
  <c r="D16" i="12"/>
  <c r="E16" i="12"/>
  <c r="F16" i="12"/>
  <c r="G16" i="12"/>
  <c r="H16" i="12"/>
  <c r="C17" i="12"/>
  <c r="D17" i="12"/>
  <c r="E17" i="12"/>
  <c r="F17" i="12"/>
  <c r="G17" i="12"/>
  <c r="H17" i="12"/>
  <c r="C18" i="12"/>
  <c r="D18" i="12"/>
  <c r="E18" i="12"/>
  <c r="F18" i="12"/>
  <c r="G18" i="12"/>
  <c r="H18" i="12"/>
  <c r="C19" i="12"/>
  <c r="D19" i="12"/>
  <c r="E19" i="12"/>
  <c r="F19" i="12"/>
  <c r="G19" i="12"/>
  <c r="H19" i="12"/>
  <c r="C20" i="12"/>
  <c r="D20" i="12"/>
  <c r="E20" i="12"/>
  <c r="F20" i="12"/>
  <c r="G20" i="12"/>
  <c r="H20" i="12"/>
  <c r="C21" i="12"/>
  <c r="D21" i="12"/>
  <c r="E21" i="12"/>
  <c r="F21" i="12"/>
  <c r="G21" i="12"/>
  <c r="H21" i="12"/>
  <c r="C22" i="12"/>
  <c r="D22" i="12"/>
  <c r="E22" i="12"/>
  <c r="F22" i="12"/>
  <c r="G22" i="12"/>
  <c r="H22" i="12"/>
  <c r="C23" i="12"/>
  <c r="D23" i="12"/>
  <c r="E23" i="12"/>
  <c r="F23" i="12"/>
  <c r="G23" i="12"/>
  <c r="H23" i="12"/>
  <c r="C24" i="12"/>
  <c r="D24" i="12"/>
  <c r="E24" i="12"/>
  <c r="F24" i="12"/>
  <c r="G24" i="12"/>
  <c r="H24" i="12"/>
  <c r="C25" i="12"/>
  <c r="D25" i="12"/>
  <c r="E25" i="12"/>
  <c r="F25" i="12"/>
  <c r="G25" i="12"/>
  <c r="H25" i="12"/>
  <c r="C26" i="12"/>
  <c r="D26" i="12"/>
  <c r="E26" i="12"/>
  <c r="F26" i="12"/>
  <c r="G26" i="12"/>
  <c r="H26" i="12"/>
  <c r="C27" i="12"/>
  <c r="D27" i="12"/>
  <c r="E27" i="12"/>
  <c r="F27" i="12"/>
  <c r="G27" i="12"/>
  <c r="H27" i="12"/>
  <c r="C28" i="12"/>
  <c r="D28" i="12"/>
  <c r="E28" i="12"/>
  <c r="F28" i="12"/>
  <c r="G28" i="12"/>
  <c r="H28" i="12"/>
  <c r="C29" i="12"/>
  <c r="D29" i="12"/>
  <c r="E29" i="12"/>
  <c r="F29" i="12"/>
  <c r="G29" i="12"/>
  <c r="H29" i="12"/>
  <c r="F2" i="12"/>
  <c r="G2" i="12"/>
  <c r="H2" i="12"/>
  <c r="F3" i="12"/>
  <c r="G3" i="12"/>
  <c r="H3" i="12"/>
  <c r="F4" i="12"/>
  <c r="G4" i="12"/>
  <c r="H4" i="12"/>
  <c r="F5" i="12"/>
  <c r="G5" i="12"/>
  <c r="H5" i="12"/>
  <c r="F6" i="12"/>
  <c r="G6" i="12"/>
  <c r="H6" i="12"/>
  <c r="F7" i="12"/>
  <c r="G7" i="12"/>
  <c r="H7" i="12"/>
  <c r="F8" i="12"/>
  <c r="G8" i="12"/>
  <c r="H8" i="12"/>
  <c r="F9" i="12"/>
  <c r="G9" i="12"/>
  <c r="H9" i="12"/>
  <c r="F10" i="12"/>
  <c r="G10" i="12"/>
  <c r="H10" i="12"/>
  <c r="F11" i="12"/>
  <c r="G11" i="12"/>
  <c r="H11" i="12"/>
  <c r="F12" i="12"/>
  <c r="G12" i="12"/>
  <c r="H12" i="12"/>
  <c r="F13" i="12"/>
  <c r="G13" i="12"/>
  <c r="H13" i="12"/>
  <c r="F14" i="12"/>
  <c r="G14" i="12"/>
  <c r="H14" i="12"/>
  <c r="D2" i="12"/>
  <c r="E2" i="12"/>
  <c r="D3" i="12"/>
  <c r="E3" i="12"/>
  <c r="D4" i="12"/>
  <c r="E4" i="12"/>
  <c r="D5" i="12"/>
  <c r="E5" i="12"/>
  <c r="D6" i="12"/>
  <c r="E6" i="12"/>
  <c r="D7" i="12"/>
  <c r="E7" i="12"/>
  <c r="D8" i="12"/>
  <c r="E8" i="12"/>
  <c r="D9" i="12"/>
  <c r="E9" i="12"/>
  <c r="D10" i="12"/>
  <c r="E10" i="12"/>
  <c r="D11" i="12"/>
  <c r="E11" i="12"/>
  <c r="D12" i="12"/>
  <c r="E12" i="12"/>
  <c r="D13" i="12"/>
  <c r="E13" i="12"/>
  <c r="D14" i="12"/>
  <c r="E14" i="12"/>
  <c r="C3" i="12"/>
  <c r="C4" i="12"/>
  <c r="C5" i="12"/>
  <c r="C6" i="12"/>
  <c r="C7" i="12"/>
  <c r="C8" i="12"/>
  <c r="C9" i="12"/>
  <c r="C10" i="12"/>
  <c r="C11" i="12"/>
  <c r="C12" i="12"/>
  <c r="C13" i="12"/>
  <c r="C14" i="12"/>
  <c r="B51" i="11"/>
  <c r="I3" i="11" a="1"/>
  <c r="I3" i="11" s="1"/>
  <c r="I4" i="11" a="1"/>
  <c r="I4" i="11" s="1"/>
  <c r="I5" i="11" a="1"/>
  <c r="I5" i="11" s="1"/>
  <c r="I6" i="11" a="1"/>
  <c r="I6" i="11"/>
  <c r="I7" i="11" a="1"/>
  <c r="I7" i="11" s="1"/>
  <c r="I8" i="11" a="1"/>
  <c r="I8" i="11" s="1"/>
  <c r="I9" i="11" a="1"/>
  <c r="I9" i="11"/>
  <c r="I10" i="11" a="1"/>
  <c r="I10" i="11"/>
  <c r="I11" i="11" a="1"/>
  <c r="I11" i="11" s="1"/>
  <c r="I12" i="11" a="1"/>
  <c r="I12" i="11" s="1"/>
  <c r="I13" i="11" a="1"/>
  <c r="I13" i="11"/>
  <c r="I14" i="11" a="1"/>
  <c r="I14" i="11"/>
  <c r="I15" i="11" a="1"/>
  <c r="I15" i="11" s="1"/>
  <c r="I16" i="11" a="1"/>
  <c r="I16" i="11" s="1"/>
  <c r="I17" i="11" a="1"/>
  <c r="I17" i="11" s="1"/>
  <c r="I18" i="11" a="1"/>
  <c r="I18" i="11" s="1"/>
  <c r="I19" i="11" a="1"/>
  <c r="I19" i="11" s="1"/>
  <c r="I20" i="11" a="1"/>
  <c r="I20" i="11" s="1"/>
  <c r="I21" i="11" a="1"/>
  <c r="I21" i="11"/>
  <c r="I22" i="11" a="1"/>
  <c r="I22" i="11"/>
  <c r="I23" i="11" a="1"/>
  <c r="I23" i="11"/>
  <c r="I24" i="11" a="1"/>
  <c r="I24" i="11" s="1"/>
  <c r="I25" i="11" a="1"/>
  <c r="I25" i="11"/>
  <c r="I26" i="11" a="1"/>
  <c r="I26" i="11"/>
  <c r="I27" i="11" a="1"/>
  <c r="I27" i="11" s="1"/>
  <c r="I28" i="11" a="1"/>
  <c r="I28" i="11" s="1"/>
  <c r="I29" i="11" a="1"/>
  <c r="I29" i="11"/>
  <c r="I30" i="11" a="1"/>
  <c r="I30" i="11"/>
  <c r="I31" i="11" a="1"/>
  <c r="I31" i="11"/>
  <c r="I32" i="11" a="1"/>
  <c r="I32" i="11"/>
  <c r="I33" i="11" a="1"/>
  <c r="I33" i="11" s="1"/>
  <c r="I34" i="11" a="1"/>
  <c r="I34" i="11" s="1"/>
  <c r="I35" i="11" a="1"/>
  <c r="I35" i="11" s="1"/>
  <c r="I36" i="11" a="1"/>
  <c r="I36" i="11" s="1"/>
  <c r="I37" i="11" a="1"/>
  <c r="I37" i="11"/>
  <c r="I38" i="11" a="1"/>
  <c r="I38" i="11"/>
  <c r="I39" i="11" a="1"/>
  <c r="I39" i="11"/>
  <c r="I40" i="11" a="1"/>
  <c r="I40" i="11"/>
  <c r="I41" i="11" a="1"/>
  <c r="I41" i="11"/>
  <c r="I42" i="11" a="1"/>
  <c r="I42" i="11" s="1"/>
  <c r="I2" i="11" a="1"/>
  <c r="I2" i="11" s="1"/>
  <c r="C43" i="1"/>
  <c r="M45" i="9"/>
  <c r="L45" i="9"/>
  <c r="K45" i="9"/>
  <c r="J45" i="9"/>
  <c r="I45" i="9"/>
  <c r="M44" i="9"/>
  <c r="L44" i="9"/>
  <c r="K44" i="9"/>
  <c r="J44" i="9"/>
  <c r="I44" i="9"/>
  <c r="M43" i="9"/>
  <c r="L43" i="9"/>
  <c r="K43" i="9"/>
  <c r="J43" i="9"/>
  <c r="I43" i="9"/>
  <c r="M45" i="8"/>
  <c r="L45" i="8"/>
  <c r="K45" i="8"/>
  <c r="J45" i="8"/>
  <c r="I45" i="8"/>
  <c r="M44" i="8"/>
  <c r="L44" i="8"/>
  <c r="K44" i="8"/>
  <c r="J44" i="8"/>
  <c r="I44" i="8"/>
  <c r="M43" i="8"/>
  <c r="L43" i="8"/>
  <c r="K43" i="8"/>
  <c r="J43" i="8"/>
  <c r="I43" i="8"/>
  <c r="M45" i="7"/>
  <c r="L45" i="7"/>
  <c r="K45" i="7"/>
  <c r="J45" i="7"/>
  <c r="I45" i="7"/>
  <c r="M43" i="7"/>
  <c r="L43" i="7"/>
  <c r="K43" i="7"/>
  <c r="J43" i="7"/>
  <c r="I43" i="7"/>
  <c r="M44" i="7"/>
  <c r="L44" i="7"/>
  <c r="K44" i="7"/>
  <c r="J44" i="7"/>
  <c r="I44" i="7"/>
  <c r="M44" i="6"/>
  <c r="L44" i="6"/>
  <c r="K44" i="6"/>
  <c r="J44" i="6"/>
  <c r="I44" i="6"/>
  <c r="Q18" i="12" l="1" a="1"/>
  <c r="Q14" i="12"/>
  <c r="H43" i="12"/>
  <c r="I43" i="12"/>
  <c r="I83" i="12" s="1"/>
  <c r="L43" i="12"/>
  <c r="L65" i="12" s="1"/>
  <c r="K43" i="12"/>
  <c r="K62" i="12" s="1"/>
  <c r="Q18" i="1" a="1"/>
  <c r="Q14" i="1"/>
  <c r="C64" i="2" a="1"/>
  <c r="C60" i="2"/>
  <c r="H58" i="12"/>
  <c r="H76" i="12"/>
  <c r="H83" i="12"/>
  <c r="H81" i="12"/>
  <c r="H51" i="12"/>
  <c r="H73" i="12"/>
  <c r="H52" i="12"/>
  <c r="H57" i="12"/>
  <c r="H60" i="12"/>
  <c r="H67" i="12"/>
  <c r="H65" i="12"/>
  <c r="H49" i="12"/>
  <c r="H77" i="12"/>
  <c r="H86" i="12"/>
  <c r="H61" i="12"/>
  <c r="H70" i="12"/>
  <c r="H68" i="12"/>
  <c r="H80" i="12"/>
  <c r="H54" i="12"/>
  <c r="H75" i="12"/>
  <c r="H59" i="12"/>
  <c r="H84" i="12"/>
  <c r="H48" i="12"/>
  <c r="H78" i="12"/>
  <c r="H55" i="12"/>
  <c r="H71" i="12"/>
  <c r="H62" i="12"/>
  <c r="H64" i="12"/>
  <c r="H82" i="12"/>
  <c r="H87" i="12"/>
  <c r="H66" i="12"/>
  <c r="H50" i="12"/>
  <c r="H74" i="12"/>
  <c r="I74" i="12"/>
  <c r="I81" i="12"/>
  <c r="I65" i="12"/>
  <c r="I84" i="12"/>
  <c r="I68" i="12"/>
  <c r="I73" i="12"/>
  <c r="I58" i="12"/>
  <c r="I67" i="12"/>
  <c r="I51" i="12"/>
  <c r="I49" i="12"/>
  <c r="I77" i="12"/>
  <c r="I86" i="12"/>
  <c r="I61" i="12"/>
  <c r="I70" i="12"/>
  <c r="I54" i="12"/>
  <c r="I75" i="12"/>
  <c r="I59" i="12"/>
  <c r="I48" i="12"/>
  <c r="I57" i="12"/>
  <c r="I78" i="12"/>
  <c r="I55" i="12"/>
  <c r="I71" i="12"/>
  <c r="I62" i="12"/>
  <c r="I64" i="12"/>
  <c r="I80" i="12"/>
  <c r="I52" i="12"/>
  <c r="I87" i="12"/>
  <c r="L87" i="12"/>
  <c r="L55" i="12"/>
  <c r="L62" i="12"/>
  <c r="L74" i="12"/>
  <c r="L77" i="12"/>
  <c r="L61" i="12"/>
  <c r="L48" i="12"/>
  <c r="L71" i="12"/>
  <c r="L78" i="12"/>
  <c r="L58" i="12"/>
  <c r="L81" i="12"/>
  <c r="L52" i="12"/>
  <c r="L75" i="12"/>
  <c r="L68" i="12"/>
  <c r="L80" i="12"/>
  <c r="L64" i="12"/>
  <c r="L59" i="12"/>
  <c r="K48" i="12"/>
  <c r="K71" i="12"/>
  <c r="K78" i="12"/>
  <c r="K74" i="12"/>
  <c r="K58" i="12"/>
  <c r="K67" i="12"/>
  <c r="K55" i="12"/>
  <c r="K81" i="12"/>
  <c r="K51" i="12"/>
  <c r="K65" i="12"/>
  <c r="K75" i="12"/>
  <c r="K49" i="12"/>
  <c r="K77" i="12"/>
  <c r="K61" i="12"/>
  <c r="K68" i="12"/>
  <c r="K84" i="12"/>
  <c r="K52" i="12"/>
  <c r="K64" i="12"/>
  <c r="K80" i="12"/>
  <c r="K59" i="12"/>
  <c r="K87" i="12"/>
  <c r="J55" i="12"/>
  <c r="J62" i="12"/>
  <c r="J58" i="12"/>
  <c r="J81" i="12"/>
  <c r="J75" i="12"/>
  <c r="J74" i="12"/>
  <c r="J83" i="12"/>
  <c r="J67" i="12"/>
  <c r="J51" i="12"/>
  <c r="J65" i="12"/>
  <c r="J59" i="12"/>
  <c r="J84" i="12"/>
  <c r="J49" i="12"/>
  <c r="J77" i="12"/>
  <c r="J86" i="12"/>
  <c r="J61" i="12"/>
  <c r="J70" i="12"/>
  <c r="J54" i="12"/>
  <c r="I60" i="12"/>
  <c r="H47" i="12"/>
  <c r="G43" i="12"/>
  <c r="J87" i="12"/>
  <c r="F43" i="12"/>
  <c r="J80" i="12"/>
  <c r="E43" i="12"/>
  <c r="E62" i="12" s="1"/>
  <c r="J71" i="12"/>
  <c r="E56" i="12"/>
  <c r="J64" i="12"/>
  <c r="M43" i="12"/>
  <c r="M50" i="12" s="1"/>
  <c r="C43" i="12"/>
  <c r="J52" i="12"/>
  <c r="D43" i="12"/>
  <c r="J48" i="12"/>
  <c r="N43" i="12"/>
  <c r="N57" i="12" s="1"/>
  <c r="J78" i="12"/>
  <c r="J68" i="12"/>
  <c r="L51" i="12"/>
  <c r="K54" i="12"/>
  <c r="N61" i="12"/>
  <c r="J57" i="12"/>
  <c r="C142" i="12"/>
  <c r="C141" i="12"/>
  <c r="C95" i="12"/>
  <c r="C160" i="12"/>
  <c r="C115" i="12"/>
  <c r="N74" i="12"/>
  <c r="N58" i="12"/>
  <c r="N84" i="12"/>
  <c r="N81" i="12"/>
  <c r="M65" i="12"/>
  <c r="N75" i="12"/>
  <c r="N53" i="12"/>
  <c r="N66" i="12"/>
  <c r="K56" i="12"/>
  <c r="J85" i="12"/>
  <c r="K82" i="12"/>
  <c r="L79" i="12"/>
  <c r="I72" i="12"/>
  <c r="K66" i="12"/>
  <c r="L63" i="12"/>
  <c r="J53" i="12"/>
  <c r="E52" i="12"/>
  <c r="K50" i="12"/>
  <c r="I85" i="12"/>
  <c r="J82" i="12"/>
  <c r="K79" i="12"/>
  <c r="L76" i="12"/>
  <c r="H72" i="12"/>
  <c r="N70" i="12"/>
  <c r="I69" i="12"/>
  <c r="J66" i="12"/>
  <c r="E65" i="12"/>
  <c r="K63" i="12"/>
  <c r="L60" i="12"/>
  <c r="M57" i="12"/>
  <c r="H56" i="12"/>
  <c r="N54" i="12"/>
  <c r="I53" i="12"/>
  <c r="J50" i="12"/>
  <c r="K47" i="12"/>
  <c r="N52" i="12"/>
  <c r="N65" i="12"/>
  <c r="N72" i="12"/>
  <c r="N56" i="12"/>
  <c r="L72" i="12"/>
  <c r="L56" i="12"/>
  <c r="K72" i="12"/>
  <c r="N63" i="12"/>
  <c r="L53" i="12"/>
  <c r="I56" i="12"/>
  <c r="L47" i="12"/>
  <c r="H85" i="12"/>
  <c r="N83" i="12"/>
  <c r="I82" i="12"/>
  <c r="J79" i="12"/>
  <c r="E78" i="12"/>
  <c r="K76" i="12"/>
  <c r="L73" i="12"/>
  <c r="H69" i="12"/>
  <c r="N67" i="12"/>
  <c r="I66" i="12"/>
  <c r="J63" i="12"/>
  <c r="K60" i="12"/>
  <c r="L57" i="12"/>
  <c r="H53" i="12"/>
  <c r="N51" i="12"/>
  <c r="I50" i="12"/>
  <c r="J47" i="12"/>
  <c r="N55" i="12"/>
  <c r="N68" i="12"/>
  <c r="J72" i="12"/>
  <c r="K69" i="12"/>
  <c r="L66" i="12"/>
  <c r="J56" i="12"/>
  <c r="N87" i="12"/>
  <c r="N71" i="12"/>
  <c r="N49" i="12"/>
  <c r="N78" i="12"/>
  <c r="N62" i="12"/>
  <c r="N85" i="12"/>
  <c r="N69" i="12"/>
  <c r="N82" i="12"/>
  <c r="M69" i="12"/>
  <c r="N50" i="12"/>
  <c r="L85" i="12"/>
  <c r="N79" i="12"/>
  <c r="L69" i="12"/>
  <c r="K85" i="12"/>
  <c r="L82" i="12"/>
  <c r="N76" i="12"/>
  <c r="N60" i="12"/>
  <c r="K53" i="12"/>
  <c r="N73" i="12"/>
  <c r="J69" i="12"/>
  <c r="L86" i="12"/>
  <c r="M83" i="12"/>
  <c r="N80" i="12"/>
  <c r="I79" i="12"/>
  <c r="J76" i="12"/>
  <c r="K73" i="12"/>
  <c r="L70" i="12"/>
  <c r="N64" i="12"/>
  <c r="I63" i="12"/>
  <c r="J60" i="12"/>
  <c r="E59" i="12"/>
  <c r="K57" i="12"/>
  <c r="L54" i="12"/>
  <c r="N48" i="12"/>
  <c r="I47" i="12"/>
  <c r="K86" i="12"/>
  <c r="L83" i="12"/>
  <c r="H79" i="12"/>
  <c r="N77" i="12"/>
  <c r="I76" i="12"/>
  <c r="J73" i="12"/>
  <c r="K70" i="12"/>
  <c r="L67" i="12"/>
  <c r="H63" i="12"/>
  <c r="J40" i="11"/>
  <c r="J21" i="11"/>
  <c r="J20" i="11"/>
  <c r="J41" i="11"/>
  <c r="J19" i="11"/>
  <c r="J23" i="11"/>
  <c r="J22" i="11"/>
  <c r="J39" i="11"/>
  <c r="J38" i="11"/>
  <c r="J8" i="11"/>
  <c r="J17" i="11"/>
  <c r="J36" i="11"/>
  <c r="J15" i="11"/>
  <c r="J14" i="11"/>
  <c r="J3" i="11"/>
  <c r="J37" i="11"/>
  <c r="J18" i="11"/>
  <c r="J7" i="11"/>
  <c r="J33" i="11"/>
  <c r="J32" i="11"/>
  <c r="J6" i="11"/>
  <c r="J16" i="11"/>
  <c r="J35" i="11"/>
  <c r="J5" i="11"/>
  <c r="J34" i="11"/>
  <c r="J25" i="11"/>
  <c r="J4" i="11"/>
  <c r="J9" i="11"/>
  <c r="J42" i="11"/>
  <c r="J24" i="11"/>
  <c r="J30" i="11"/>
  <c r="J29" i="11"/>
  <c r="J11" i="11"/>
  <c r="J31" i="11"/>
  <c r="J13" i="11"/>
  <c r="J28" i="11"/>
  <c r="J27" i="11"/>
  <c r="J10" i="11"/>
  <c r="J12" i="11"/>
  <c r="J2" i="11"/>
  <c r="J26" i="11"/>
  <c r="Y39" i="12" l="1"/>
  <c r="Y35" i="12"/>
  <c r="U34" i="12"/>
  <c r="AA40" i="12"/>
  <c r="W39" i="12"/>
  <c r="W53" i="12" s="1"/>
  <c r="AA36" i="12"/>
  <c r="W35" i="12"/>
  <c r="X40" i="12"/>
  <c r="X54" i="12" s="1"/>
  <c r="AB37" i="12"/>
  <c r="AA41" i="12"/>
  <c r="AA37" i="12"/>
  <c r="AA33" i="12"/>
  <c r="Z41" i="12"/>
  <c r="Y37" i="12"/>
  <c r="X37" i="12"/>
  <c r="AB44" i="12"/>
  <c r="AB58" i="12" s="1"/>
  <c r="AB40" i="12"/>
  <c r="X39" i="12"/>
  <c r="AB36" i="12"/>
  <c r="X35" i="12"/>
  <c r="T34" i="12"/>
  <c r="Q18" i="12"/>
  <c r="Q33" i="12" s="1"/>
  <c r="Q47" i="12" s="1"/>
  <c r="S34" i="12"/>
  <c r="AB41" i="12"/>
  <c r="X36" i="12"/>
  <c r="W36" i="12"/>
  <c r="V36" i="12"/>
  <c r="Z33" i="12"/>
  <c r="AB38" i="12"/>
  <c r="Z40" i="12"/>
  <c r="Z36" i="12"/>
  <c r="V35" i="12"/>
  <c r="R34" i="12"/>
  <c r="R48" i="12" s="1"/>
  <c r="Y40" i="12"/>
  <c r="Y36" i="12"/>
  <c r="U35" i="12"/>
  <c r="T35" i="12"/>
  <c r="S35" i="12"/>
  <c r="S49" i="12" s="1"/>
  <c r="Z37" i="12"/>
  <c r="Y41" i="12"/>
  <c r="Y55" i="12" s="1"/>
  <c r="U36" i="12"/>
  <c r="Y33" i="12"/>
  <c r="AB42" i="12"/>
  <c r="T36" i="12"/>
  <c r="T50" i="12" s="1"/>
  <c r="AB34" i="12"/>
  <c r="X33" i="12"/>
  <c r="Y38" i="12"/>
  <c r="AA34" i="12"/>
  <c r="X38" i="12"/>
  <c r="Z34" i="12"/>
  <c r="W38" i="12"/>
  <c r="Y34" i="12"/>
  <c r="V37" i="12"/>
  <c r="V34" i="12"/>
  <c r="U37" i="12"/>
  <c r="U51" i="12" s="1"/>
  <c r="W33" i="12"/>
  <c r="V33" i="12"/>
  <c r="AB39" i="12"/>
  <c r="R33" i="12"/>
  <c r="V38" i="12"/>
  <c r="V52" i="12" s="1"/>
  <c r="X34" i="12"/>
  <c r="W37" i="12"/>
  <c r="W34" i="12"/>
  <c r="AB43" i="12"/>
  <c r="AA43" i="12"/>
  <c r="AA57" i="12" s="1"/>
  <c r="AA42" i="12"/>
  <c r="AA39" i="12"/>
  <c r="Z42" i="12"/>
  <c r="Z56" i="12" s="1"/>
  <c r="Z39" i="12"/>
  <c r="AB35" i="12"/>
  <c r="AA38" i="12"/>
  <c r="AA35" i="12"/>
  <c r="Z38" i="12"/>
  <c r="Z35" i="12"/>
  <c r="C121" i="12"/>
  <c r="C243" i="12"/>
  <c r="C259" i="12"/>
  <c r="C244" i="12"/>
  <c r="C260" i="12"/>
  <c r="C245" i="12"/>
  <c r="C261" i="12"/>
  <c r="C230" i="12"/>
  <c r="C246" i="12"/>
  <c r="C262" i="12"/>
  <c r="C247" i="12"/>
  <c r="C263" i="12"/>
  <c r="C267" i="12"/>
  <c r="C231" i="12"/>
  <c r="C232" i="12"/>
  <c r="C248" i="12"/>
  <c r="C264" i="12"/>
  <c r="C233" i="12"/>
  <c r="C249" i="12"/>
  <c r="C265" i="12"/>
  <c r="C251" i="12"/>
  <c r="C234" i="12"/>
  <c r="C250" i="12"/>
  <c r="C266" i="12"/>
  <c r="C235" i="12"/>
  <c r="C236" i="12"/>
  <c r="C252" i="12"/>
  <c r="C268" i="12"/>
  <c r="C254" i="12"/>
  <c r="C257" i="12"/>
  <c r="C242" i="12"/>
  <c r="C237" i="12"/>
  <c r="C253" i="12"/>
  <c r="C269" i="12"/>
  <c r="C229" i="12"/>
  <c r="C238" i="12"/>
  <c r="C239" i="12"/>
  <c r="C255" i="12"/>
  <c r="C137" i="12"/>
  <c r="C256" i="12"/>
  <c r="C258" i="12"/>
  <c r="C240" i="12"/>
  <c r="C241" i="12"/>
  <c r="C97" i="12"/>
  <c r="M84" i="12"/>
  <c r="M74" i="12"/>
  <c r="M54" i="12"/>
  <c r="M86" i="12"/>
  <c r="E81" i="12"/>
  <c r="C155" i="12"/>
  <c r="C140" i="12"/>
  <c r="L84" i="12"/>
  <c r="C119" i="12"/>
  <c r="C176" i="12"/>
  <c r="M71" i="12"/>
  <c r="C124" i="12"/>
  <c r="M81" i="12"/>
  <c r="M78" i="12"/>
  <c r="C167" i="12"/>
  <c r="M68" i="12"/>
  <c r="C169" i="12"/>
  <c r="C100" i="12"/>
  <c r="M49" i="12"/>
  <c r="M70" i="12"/>
  <c r="C157" i="12"/>
  <c r="M85" i="12"/>
  <c r="C101" i="12"/>
  <c r="C161" i="12"/>
  <c r="C120" i="12"/>
  <c r="M63" i="12"/>
  <c r="C151" i="12"/>
  <c r="C96" i="12"/>
  <c r="C163" i="12"/>
  <c r="M52" i="12"/>
  <c r="C125" i="12"/>
  <c r="C177" i="12"/>
  <c r="E72" i="12"/>
  <c r="M67" i="12"/>
  <c r="M58" i="12"/>
  <c r="M66" i="12"/>
  <c r="C152" i="12"/>
  <c r="C111" i="12"/>
  <c r="C112" i="12"/>
  <c r="K83" i="12"/>
  <c r="L49" i="12"/>
  <c r="M82" i="12"/>
  <c r="C138" i="12"/>
  <c r="C130" i="12"/>
  <c r="M48" i="12"/>
  <c r="E75" i="12"/>
  <c r="E49" i="12"/>
  <c r="C174" i="12"/>
  <c r="C159" i="12"/>
  <c r="M77" i="12"/>
  <c r="M59" i="12"/>
  <c r="C105" i="12"/>
  <c r="M80" i="12"/>
  <c r="M53" i="12"/>
  <c r="L50" i="12"/>
  <c r="N47" i="12"/>
  <c r="N86" i="12"/>
  <c r="N59" i="12"/>
  <c r="C114" i="12"/>
  <c r="C131" i="12"/>
  <c r="AB44" i="1"/>
  <c r="AB58" i="1" s="1"/>
  <c r="AB40" i="1"/>
  <c r="X39" i="1"/>
  <c r="AB36" i="1"/>
  <c r="X35" i="1"/>
  <c r="T34" i="1"/>
  <c r="Q18" i="1"/>
  <c r="Q33" i="1" s="1"/>
  <c r="Q47" i="1" s="1"/>
  <c r="AA40" i="1"/>
  <c r="W39" i="1"/>
  <c r="W53" i="1" s="1"/>
  <c r="AA36" i="1"/>
  <c r="W35" i="1"/>
  <c r="S34" i="1"/>
  <c r="Z40" i="1"/>
  <c r="Z36" i="1"/>
  <c r="V35" i="1"/>
  <c r="R34" i="1"/>
  <c r="R48" i="1" s="1"/>
  <c r="Y40" i="1"/>
  <c r="Y36" i="1"/>
  <c r="U37" i="1"/>
  <c r="U51" i="1" s="1"/>
  <c r="Y35" i="1"/>
  <c r="X40" i="1"/>
  <c r="X54" i="1" s="1"/>
  <c r="AB38" i="1"/>
  <c r="U35" i="1"/>
  <c r="Z33" i="1"/>
  <c r="AA38" i="1"/>
  <c r="T35" i="1"/>
  <c r="Z38" i="1"/>
  <c r="S35" i="1"/>
  <c r="S49" i="1" s="1"/>
  <c r="Y38" i="1"/>
  <c r="Z37" i="1"/>
  <c r="AB42" i="1"/>
  <c r="Y37" i="1"/>
  <c r="AB34" i="1"/>
  <c r="AA42" i="1"/>
  <c r="X37" i="1"/>
  <c r="AA34" i="1"/>
  <c r="Z42" i="1"/>
  <c r="Z56" i="1" s="1"/>
  <c r="AB39" i="1"/>
  <c r="W37" i="1"/>
  <c r="Z34" i="1"/>
  <c r="AB41" i="1"/>
  <c r="AA39" i="1"/>
  <c r="V37" i="1"/>
  <c r="Y34" i="1"/>
  <c r="AA41" i="1"/>
  <c r="Z39" i="1"/>
  <c r="X36" i="1"/>
  <c r="X34" i="1"/>
  <c r="Z41" i="1"/>
  <c r="Y39" i="1"/>
  <c r="W36" i="1"/>
  <c r="W34" i="1"/>
  <c r="Y41" i="1"/>
  <c r="Y55" i="1" s="1"/>
  <c r="V36" i="1"/>
  <c r="V34" i="1"/>
  <c r="U36" i="1"/>
  <c r="U34" i="1"/>
  <c r="AB43" i="1"/>
  <c r="T36" i="1"/>
  <c r="T50" i="1" s="1"/>
  <c r="AA43" i="1"/>
  <c r="AA57" i="1" s="1"/>
  <c r="X38" i="1"/>
  <c r="W38" i="1"/>
  <c r="V38" i="1"/>
  <c r="V52" i="1" s="1"/>
  <c r="AB35" i="1"/>
  <c r="AB37" i="1"/>
  <c r="AA35" i="1"/>
  <c r="AA37" i="1"/>
  <c r="Z35" i="1"/>
  <c r="N84" i="2"/>
  <c r="K83" i="2"/>
  <c r="M87" i="2"/>
  <c r="M83" i="2"/>
  <c r="J82" i="2"/>
  <c r="L86" i="2"/>
  <c r="L82" i="2"/>
  <c r="I81" i="2"/>
  <c r="K85" i="2"/>
  <c r="N80" i="2"/>
  <c r="K81" i="2"/>
  <c r="H80" i="2"/>
  <c r="J84" i="2"/>
  <c r="N81" i="2"/>
  <c r="J80" i="2"/>
  <c r="I83" i="2"/>
  <c r="L83" i="2"/>
  <c r="G80" i="2"/>
  <c r="K82" i="2"/>
  <c r="M80" i="2"/>
  <c r="J81" i="2"/>
  <c r="N88" i="2"/>
  <c r="L79" i="2"/>
  <c r="I80" i="2"/>
  <c r="H82" i="2"/>
  <c r="K79" i="2"/>
  <c r="H79" i="2"/>
  <c r="G81" i="2"/>
  <c r="N82" i="2"/>
  <c r="N86" i="2"/>
  <c r="F80" i="2"/>
  <c r="M81" i="2"/>
  <c r="M85" i="2"/>
  <c r="M86" i="2"/>
  <c r="K80" i="2"/>
  <c r="N85" i="2"/>
  <c r="M84" i="2"/>
  <c r="L85" i="2"/>
  <c r="K84" i="2"/>
  <c r="J83" i="2"/>
  <c r="L80" i="2"/>
  <c r="I82" i="2"/>
  <c r="N83" i="2"/>
  <c r="H81" i="2"/>
  <c r="M82" i="2"/>
  <c r="L81" i="2"/>
  <c r="L84" i="2"/>
  <c r="N87" i="2"/>
  <c r="C64" i="2"/>
  <c r="C79" i="2" s="1"/>
  <c r="C93" i="2" s="1"/>
  <c r="K87" i="2"/>
  <c r="K101" i="2" s="1"/>
  <c r="H84" i="2"/>
  <c r="H98" i="2" s="1"/>
  <c r="E81" i="2"/>
  <c r="E95" i="2" s="1"/>
  <c r="J86" i="2"/>
  <c r="J100" i="2" s="1"/>
  <c r="M88" i="2"/>
  <c r="G82" i="2"/>
  <c r="M89" i="2"/>
  <c r="M103" i="2" s="1"/>
  <c r="N89" i="2"/>
  <c r="I85" i="2"/>
  <c r="I99" i="2" s="1"/>
  <c r="L87" i="2"/>
  <c r="G83" i="2"/>
  <c r="G97" i="2" s="1"/>
  <c r="K86" i="2"/>
  <c r="F82" i="2"/>
  <c r="F96" i="2" s="1"/>
  <c r="J85" i="2"/>
  <c r="N90" i="2"/>
  <c r="N104" i="2" s="1"/>
  <c r="I84" i="2"/>
  <c r="D80" i="2"/>
  <c r="D94" i="2" s="1"/>
  <c r="H83" i="2"/>
  <c r="F81" i="2"/>
  <c r="E80" i="2"/>
  <c r="L88" i="2"/>
  <c r="L102" i="2" s="1"/>
  <c r="G60" i="12"/>
  <c r="G67" i="12"/>
  <c r="G85" i="12"/>
  <c r="G51" i="12"/>
  <c r="G65" i="12"/>
  <c r="G72" i="12"/>
  <c r="G77" i="12"/>
  <c r="G86" i="12"/>
  <c r="G47" i="12"/>
  <c r="G52" i="12"/>
  <c r="G80" i="12"/>
  <c r="G64" i="12"/>
  <c r="G82" i="12"/>
  <c r="G69" i="12"/>
  <c r="G81" i="12"/>
  <c r="G53" i="12"/>
  <c r="G49" i="12"/>
  <c r="G56" i="12"/>
  <c r="G61" i="12"/>
  <c r="G70" i="12"/>
  <c r="G79" i="12"/>
  <c r="G54" i="12"/>
  <c r="G63" i="12"/>
  <c r="G75" i="12"/>
  <c r="G59" i="12"/>
  <c r="G84" i="12"/>
  <c r="G68" i="12"/>
  <c r="G73" i="12"/>
  <c r="G57" i="12"/>
  <c r="G48" i="12"/>
  <c r="G78" i="12"/>
  <c r="G55" i="12"/>
  <c r="G83" i="12"/>
  <c r="G62" i="12"/>
  <c r="G76" i="12"/>
  <c r="G71" i="12"/>
  <c r="G87" i="12"/>
  <c r="G58" i="12"/>
  <c r="G66" i="12"/>
  <c r="G74" i="12"/>
  <c r="G50" i="12"/>
  <c r="M75" i="12"/>
  <c r="C93" i="12"/>
  <c r="C127" i="12"/>
  <c r="C162" i="12"/>
  <c r="C139" i="12"/>
  <c r="C148" i="12"/>
  <c r="M87" i="12"/>
  <c r="M72" i="12"/>
  <c r="C109" i="12"/>
  <c r="C158" i="12"/>
  <c r="C170" i="12"/>
  <c r="F69" i="12"/>
  <c r="F81" i="12"/>
  <c r="F49" i="12"/>
  <c r="F77" i="12"/>
  <c r="F86" i="12"/>
  <c r="F70" i="12"/>
  <c r="F79" i="12"/>
  <c r="F64" i="12"/>
  <c r="F82" i="12"/>
  <c r="F87" i="12"/>
  <c r="F51" i="12"/>
  <c r="F53" i="12"/>
  <c r="F65" i="12"/>
  <c r="F72" i="12"/>
  <c r="F56" i="12"/>
  <c r="F61" i="12"/>
  <c r="F54" i="12"/>
  <c r="F63" i="12"/>
  <c r="F75" i="12"/>
  <c r="F59" i="12"/>
  <c r="F84" i="12"/>
  <c r="F66" i="12"/>
  <c r="F47" i="12"/>
  <c r="F68" i="12"/>
  <c r="F73" i="12"/>
  <c r="F52" i="12"/>
  <c r="F57" i="12"/>
  <c r="F80" i="12"/>
  <c r="F60" i="12"/>
  <c r="F48" i="12"/>
  <c r="F83" i="12"/>
  <c r="F67" i="12"/>
  <c r="F62" i="12"/>
  <c r="F76" i="12"/>
  <c r="F55" i="12"/>
  <c r="F78" i="12"/>
  <c r="F71" i="12"/>
  <c r="F85" i="12"/>
  <c r="F50" i="12"/>
  <c r="F74" i="12"/>
  <c r="F58" i="12"/>
  <c r="C107" i="12"/>
  <c r="C143" i="12"/>
  <c r="M60" i="12"/>
  <c r="C94" i="12"/>
  <c r="C129" i="12"/>
  <c r="C102" i="12"/>
  <c r="M55" i="12"/>
  <c r="M73" i="12"/>
  <c r="M47" i="12"/>
  <c r="C166" i="12"/>
  <c r="C110" i="12"/>
  <c r="C175" i="12"/>
  <c r="C91" i="12"/>
  <c r="C144" i="12"/>
  <c r="D65" i="12"/>
  <c r="D49" i="12"/>
  <c r="D70" i="12"/>
  <c r="D79" i="12"/>
  <c r="D54" i="12"/>
  <c r="D56" i="12"/>
  <c r="D63" i="12"/>
  <c r="D75" i="12"/>
  <c r="D84" i="12"/>
  <c r="D71" i="12"/>
  <c r="D78" i="12"/>
  <c r="D77" i="12"/>
  <c r="D86" i="12"/>
  <c r="D61" i="12"/>
  <c r="D72" i="12"/>
  <c r="D47" i="12"/>
  <c r="D59" i="12"/>
  <c r="D68" i="12"/>
  <c r="D73" i="12"/>
  <c r="D57" i="12"/>
  <c r="D80" i="12"/>
  <c r="D50" i="12"/>
  <c r="D55" i="12"/>
  <c r="D52" i="12"/>
  <c r="D64" i="12"/>
  <c r="D82" i="12"/>
  <c r="D66" i="12"/>
  <c r="D87" i="12"/>
  <c r="D48" i="12"/>
  <c r="D76" i="12"/>
  <c r="D58" i="12"/>
  <c r="D60" i="12"/>
  <c r="D53" i="12"/>
  <c r="D62" i="12"/>
  <c r="D69" i="12"/>
  <c r="D85" i="12"/>
  <c r="D51" i="12"/>
  <c r="D67" i="12"/>
  <c r="D83" i="12"/>
  <c r="D74" i="12"/>
  <c r="D81" i="12"/>
  <c r="C150" i="12"/>
  <c r="C200" i="12"/>
  <c r="C216" i="12"/>
  <c r="C165" i="12"/>
  <c r="C185" i="12"/>
  <c r="C201" i="12"/>
  <c r="C217" i="12"/>
  <c r="C172" i="12"/>
  <c r="C219" i="12"/>
  <c r="C204" i="12"/>
  <c r="C221" i="12"/>
  <c r="C211" i="12"/>
  <c r="C186" i="12"/>
  <c r="C202" i="12"/>
  <c r="C218" i="12"/>
  <c r="C173" i="12"/>
  <c r="C203" i="12"/>
  <c r="C98" i="12"/>
  <c r="C220" i="12"/>
  <c r="C99" i="12"/>
  <c r="C205" i="12"/>
  <c r="C103" i="12"/>
  <c r="C187" i="12"/>
  <c r="C188" i="12"/>
  <c r="C189" i="12"/>
  <c r="C190" i="12"/>
  <c r="C206" i="12"/>
  <c r="C222" i="12"/>
  <c r="C104" i="12"/>
  <c r="C207" i="12"/>
  <c r="C223" i="12"/>
  <c r="C117" i="12"/>
  <c r="C122" i="12"/>
  <c r="C191" i="12"/>
  <c r="C192" i="12"/>
  <c r="C208" i="12"/>
  <c r="C224" i="12"/>
  <c r="C118" i="12"/>
  <c r="C209" i="12"/>
  <c r="C184" i="12"/>
  <c r="C210" i="12"/>
  <c r="C123" i="12"/>
  <c r="C193" i="12"/>
  <c r="C194" i="12"/>
  <c r="C195" i="12"/>
  <c r="C196" i="12"/>
  <c r="C197" i="12"/>
  <c r="C198" i="12"/>
  <c r="C214" i="12"/>
  <c r="C154" i="12"/>
  <c r="C199" i="12"/>
  <c r="C212" i="12"/>
  <c r="C213" i="12"/>
  <c r="C215" i="12"/>
  <c r="C146" i="12"/>
  <c r="C153" i="12"/>
  <c r="C164" i="12"/>
  <c r="C168" i="12"/>
  <c r="M56" i="12"/>
  <c r="M61" i="12"/>
  <c r="M79" i="12"/>
  <c r="C92" i="12"/>
  <c r="C126" i="12"/>
  <c r="C106" i="12"/>
  <c r="C145" i="12"/>
  <c r="C149" i="12"/>
  <c r="C116" i="12"/>
  <c r="C171" i="12"/>
  <c r="M51" i="12"/>
  <c r="M76" i="12"/>
  <c r="C156" i="12"/>
  <c r="M64" i="12"/>
  <c r="M62" i="12"/>
  <c r="C108" i="12"/>
  <c r="C128" i="12"/>
  <c r="C113" i="12"/>
  <c r="C147" i="12"/>
  <c r="E51" i="12"/>
  <c r="E53" i="12"/>
  <c r="E86" i="12"/>
  <c r="E70" i="12"/>
  <c r="E87" i="12"/>
  <c r="E48" i="12"/>
  <c r="E77" i="12"/>
  <c r="E61" i="12"/>
  <c r="E79" i="12"/>
  <c r="E54" i="12"/>
  <c r="E63" i="12"/>
  <c r="E84" i="12"/>
  <c r="E47" i="12"/>
  <c r="E68" i="12"/>
  <c r="E73" i="12"/>
  <c r="E71" i="12"/>
  <c r="E57" i="12"/>
  <c r="E80" i="12"/>
  <c r="E64" i="12"/>
  <c r="E82" i="12"/>
  <c r="E66" i="12"/>
  <c r="E83" i="12"/>
  <c r="E76" i="12"/>
  <c r="E55" i="12"/>
  <c r="E69" i="12"/>
  <c r="E85" i="12"/>
  <c r="E50" i="12"/>
  <c r="E58" i="12"/>
  <c r="E74" i="12"/>
  <c r="E67" i="12"/>
  <c r="E60" i="12"/>
  <c r="R39" i="12" l="1"/>
  <c r="R53" i="12" s="1"/>
  <c r="W48" i="12"/>
  <c r="S38" i="12"/>
  <c r="S52" i="12" s="1"/>
  <c r="V49" i="12"/>
  <c r="U39" i="12"/>
  <c r="U53" i="12" s="1"/>
  <c r="W51" i="12"/>
  <c r="U40" i="12"/>
  <c r="U54" i="12" s="1"/>
  <c r="X51" i="12"/>
  <c r="X48" i="12"/>
  <c r="R40" i="12"/>
  <c r="R54" i="12" s="1"/>
  <c r="Z54" i="12"/>
  <c r="X42" i="12"/>
  <c r="X56" i="12" s="1"/>
  <c r="Z55" i="12"/>
  <c r="Y42" i="12"/>
  <c r="Y56" i="12" s="1"/>
  <c r="S43" i="12"/>
  <c r="S57" i="12" s="1"/>
  <c r="AA49" i="12"/>
  <c r="Q34" i="12"/>
  <c r="Q48" i="12" s="1"/>
  <c r="R47" i="12"/>
  <c r="AA47" i="12"/>
  <c r="Q43" i="12"/>
  <c r="Q57" i="12" s="1"/>
  <c r="W44" i="12"/>
  <c r="W58" i="12" s="1"/>
  <c r="AB53" i="12"/>
  <c r="AA51" i="12"/>
  <c r="U43" i="12"/>
  <c r="U57" i="12" s="1"/>
  <c r="S44" i="12"/>
  <c r="S58" i="12" s="1"/>
  <c r="AB49" i="12"/>
  <c r="Q38" i="12"/>
  <c r="Q52" i="12" s="1"/>
  <c r="V47" i="12"/>
  <c r="Y43" i="12"/>
  <c r="Y57" i="12" s="1"/>
  <c r="AA55" i="12"/>
  <c r="W42" i="12"/>
  <c r="W56" i="12" s="1"/>
  <c r="Z53" i="12"/>
  <c r="Q39" i="12"/>
  <c r="Q53" i="12" s="1"/>
  <c r="W47" i="12"/>
  <c r="AB51" i="12"/>
  <c r="U44" i="12"/>
  <c r="U58" i="12" s="1"/>
  <c r="Y44" i="12"/>
  <c r="Y58" i="12" s="1"/>
  <c r="AB55" i="12"/>
  <c r="W49" i="12"/>
  <c r="S39" i="12"/>
  <c r="S53" i="12" s="1"/>
  <c r="Z43" i="12"/>
  <c r="Z57" i="12" s="1"/>
  <c r="AA56" i="12"/>
  <c r="U38" i="12"/>
  <c r="U52" i="12" s="1"/>
  <c r="V51" i="12"/>
  <c r="AA50" i="12"/>
  <c r="T43" i="12"/>
  <c r="T57" i="12" s="1"/>
  <c r="S33" i="12"/>
  <c r="R41" i="12"/>
  <c r="R55" i="12" s="1"/>
  <c r="Y48" i="12"/>
  <c r="T49" i="12"/>
  <c r="S36" i="12"/>
  <c r="S50" i="12" s="1"/>
  <c r="T48" i="12"/>
  <c r="R36" i="12"/>
  <c r="R50" i="12" s="1"/>
  <c r="V39" i="12"/>
  <c r="V53" i="12" s="1"/>
  <c r="W52" i="12"/>
  <c r="U49" i="12"/>
  <c r="S37" i="12"/>
  <c r="S51" i="12" s="1"/>
  <c r="X49" i="12"/>
  <c r="S40" i="12"/>
  <c r="S54" i="12" s="1"/>
  <c r="AA54" i="12"/>
  <c r="X43" i="12"/>
  <c r="X57" i="12" s="1"/>
  <c r="T42" i="12"/>
  <c r="T56" i="12" s="1"/>
  <c r="Z50" i="12"/>
  <c r="S42" i="12"/>
  <c r="S56" i="12" s="1"/>
  <c r="Z49" i="12"/>
  <c r="Y51" i="12"/>
  <c r="U41" i="12"/>
  <c r="U55" i="12" s="1"/>
  <c r="V42" i="12"/>
  <c r="V56" i="12" s="1"/>
  <c r="Z52" i="12"/>
  <c r="V44" i="12"/>
  <c r="V58" i="12" s="1"/>
  <c r="AB52" i="12"/>
  <c r="Z47" i="12"/>
  <c r="Q42" i="12"/>
  <c r="Q56" i="12" s="1"/>
  <c r="V43" i="12"/>
  <c r="V57" i="12" s="1"/>
  <c r="AA52" i="12"/>
  <c r="T38" i="12"/>
  <c r="T52" i="12" s="1"/>
  <c r="V50" i="12"/>
  <c r="W50" i="12"/>
  <c r="T39" i="12"/>
  <c r="T53" i="12" s="1"/>
  <c r="R38" i="12"/>
  <c r="R52" i="12" s="1"/>
  <c r="V48" i="12"/>
  <c r="S48" i="12"/>
  <c r="R35" i="12"/>
  <c r="R49" i="12" s="1"/>
  <c r="AB33" i="12"/>
  <c r="T33" i="12"/>
  <c r="Y50" i="12"/>
  <c r="T41" i="12"/>
  <c r="T55" i="12" s="1"/>
  <c r="AB50" i="12"/>
  <c r="T44" i="12"/>
  <c r="T58" i="12" s="1"/>
  <c r="AA44" i="12"/>
  <c r="AA58" i="12" s="1"/>
  <c r="AB57" i="12"/>
  <c r="V40" i="12"/>
  <c r="V54" i="12" s="1"/>
  <c r="X52" i="12"/>
  <c r="X41" i="12"/>
  <c r="X55" i="12" s="1"/>
  <c r="Y54" i="12"/>
  <c r="W40" i="12"/>
  <c r="W54" i="12" s="1"/>
  <c r="X53" i="12"/>
  <c r="Y49" i="12"/>
  <c r="S41" i="12"/>
  <c r="S55" i="12" s="1"/>
  <c r="Y52" i="12"/>
  <c r="V41" i="12"/>
  <c r="V55" i="12" s="1"/>
  <c r="X47" i="12"/>
  <c r="Q40" i="12"/>
  <c r="Q54" i="12" s="1"/>
  <c r="AB48" i="12"/>
  <c r="R44" i="12"/>
  <c r="R58" i="12" s="1"/>
  <c r="AB56" i="12"/>
  <c r="Z44" i="12"/>
  <c r="Z58" i="12" s="1"/>
  <c r="Q41" i="12"/>
  <c r="Q55" i="12" s="1"/>
  <c r="Y47" i="12"/>
  <c r="U50" i="12"/>
  <c r="T37" i="12"/>
  <c r="T51" i="12" s="1"/>
  <c r="T40" i="12"/>
  <c r="T54" i="12" s="1"/>
  <c r="X50" i="12"/>
  <c r="U42" i="12"/>
  <c r="U56" i="12" s="1"/>
  <c r="Z51" i="12"/>
  <c r="W43" i="12"/>
  <c r="W57" i="12" s="1"/>
  <c r="AA53" i="12"/>
  <c r="R42" i="12"/>
  <c r="R56" i="12" s="1"/>
  <c r="Z48" i="12"/>
  <c r="U48" i="12"/>
  <c r="R37" i="12"/>
  <c r="R51" i="12" s="1"/>
  <c r="U33" i="12"/>
  <c r="R43" i="12"/>
  <c r="R57" i="12" s="1"/>
  <c r="AA48" i="12"/>
  <c r="X44" i="12"/>
  <c r="X58" i="12" s="1"/>
  <c r="AB54" i="12"/>
  <c r="Y53" i="12"/>
  <c r="W41" i="12"/>
  <c r="W55" i="12" s="1"/>
  <c r="X33" i="1"/>
  <c r="S33" i="1"/>
  <c r="C178" i="12"/>
  <c r="Y33" i="1"/>
  <c r="Q41" i="1" s="1"/>
  <c r="Q55" i="1" s="1"/>
  <c r="T33" i="1"/>
  <c r="T47" i="1" s="1"/>
  <c r="C270" i="12"/>
  <c r="C272" i="12" s="1"/>
  <c r="C273" i="12" s="1"/>
  <c r="C132" i="12"/>
  <c r="C133" i="12" s="1"/>
  <c r="R33" i="1"/>
  <c r="Y52" i="1"/>
  <c r="V41" i="1"/>
  <c r="V55" i="1" s="1"/>
  <c r="Q40" i="1"/>
  <c r="Q54" i="1" s="1"/>
  <c r="X47" i="1"/>
  <c r="R47" i="1"/>
  <c r="Q34" i="1"/>
  <c r="Q48" i="1" s="1"/>
  <c r="S42" i="1"/>
  <c r="S56" i="1" s="1"/>
  <c r="Z49" i="1"/>
  <c r="V42" i="1"/>
  <c r="V56" i="1" s="1"/>
  <c r="Z52" i="1"/>
  <c r="U43" i="1"/>
  <c r="U57" i="1" s="1"/>
  <c r="AA51" i="1"/>
  <c r="T37" i="1"/>
  <c r="T51" i="1" s="1"/>
  <c r="U50" i="1"/>
  <c r="R42" i="1"/>
  <c r="R56" i="1" s="1"/>
  <c r="Z48" i="1"/>
  <c r="S48" i="1"/>
  <c r="R35" i="1"/>
  <c r="R49" i="1" s="1"/>
  <c r="T49" i="1"/>
  <c r="S36" i="1"/>
  <c r="S50" i="1" s="1"/>
  <c r="AA49" i="1"/>
  <c r="S43" i="1"/>
  <c r="S57" i="1" s="1"/>
  <c r="W44" i="1"/>
  <c r="W58" i="1" s="1"/>
  <c r="AB53" i="1"/>
  <c r="AA50" i="1"/>
  <c r="T43" i="1"/>
  <c r="T57" i="1" s="1"/>
  <c r="U44" i="1"/>
  <c r="U58" i="1" s="1"/>
  <c r="AB51" i="1"/>
  <c r="U49" i="1"/>
  <c r="S37" i="1"/>
  <c r="S51" i="1" s="1"/>
  <c r="X51" i="1"/>
  <c r="U40" i="1"/>
  <c r="U54" i="1" s="1"/>
  <c r="U33" i="1"/>
  <c r="Y53" i="1"/>
  <c r="W41" i="1"/>
  <c r="W55" i="1" s="1"/>
  <c r="AA56" i="1"/>
  <c r="Z43" i="1"/>
  <c r="Z57" i="1" s="1"/>
  <c r="T48" i="1"/>
  <c r="R36" i="1"/>
  <c r="R50" i="1" s="1"/>
  <c r="Y42" i="1"/>
  <c r="Y56" i="1" s="1"/>
  <c r="Z55" i="1"/>
  <c r="R44" i="1"/>
  <c r="R58" i="1" s="1"/>
  <c r="AB48" i="1"/>
  <c r="AA33" i="1"/>
  <c r="X49" i="1"/>
  <c r="S40" i="1"/>
  <c r="S54" i="1" s="1"/>
  <c r="V33" i="1"/>
  <c r="R40" i="1"/>
  <c r="R54" i="1" s="1"/>
  <c r="X48" i="1"/>
  <c r="Y51" i="1"/>
  <c r="U41" i="1"/>
  <c r="U55" i="1" s="1"/>
  <c r="Y49" i="1"/>
  <c r="S41" i="1"/>
  <c r="S55" i="1" s="1"/>
  <c r="AB50" i="1"/>
  <c r="T44" i="1"/>
  <c r="T58" i="1" s="1"/>
  <c r="Y48" i="1"/>
  <c r="R41" i="1"/>
  <c r="R55" i="1" s="1"/>
  <c r="V51" i="1"/>
  <c r="U38" i="1"/>
  <c r="U52" i="1" s="1"/>
  <c r="S38" i="1"/>
  <c r="S52" i="1" s="1"/>
  <c r="V49" i="1"/>
  <c r="AA44" i="1"/>
  <c r="AA58" i="1" s="1"/>
  <c r="AB57" i="1"/>
  <c r="W43" i="1"/>
  <c r="W57" i="1" s="1"/>
  <c r="AA53" i="1"/>
  <c r="T42" i="1"/>
  <c r="T56" i="1" s="1"/>
  <c r="Z50" i="1"/>
  <c r="U48" i="1"/>
  <c r="R37" i="1"/>
  <c r="R51" i="1" s="1"/>
  <c r="Y44" i="1"/>
  <c r="Y58" i="1" s="1"/>
  <c r="AB55" i="1"/>
  <c r="Z54" i="1"/>
  <c r="X42" i="1"/>
  <c r="X56" i="1" s="1"/>
  <c r="Q35" i="1"/>
  <c r="Q49" i="1" s="1"/>
  <c r="S47" i="1"/>
  <c r="R38" i="1"/>
  <c r="R52" i="1" s="1"/>
  <c r="V48" i="1"/>
  <c r="U39" i="1"/>
  <c r="U53" i="1" s="1"/>
  <c r="W51" i="1"/>
  <c r="W49" i="1"/>
  <c r="S39" i="1"/>
  <c r="S53" i="1" s="1"/>
  <c r="T38" i="1"/>
  <c r="T52" i="1" s="1"/>
  <c r="V50" i="1"/>
  <c r="V43" i="1"/>
  <c r="V57" i="1" s="1"/>
  <c r="AA52" i="1"/>
  <c r="Q42" i="1"/>
  <c r="Q56" i="1" s="1"/>
  <c r="Z47" i="1"/>
  <c r="R39" i="1"/>
  <c r="R53" i="1" s="1"/>
  <c r="W48" i="1"/>
  <c r="AA48" i="1"/>
  <c r="R43" i="1"/>
  <c r="R57" i="1" s="1"/>
  <c r="X43" i="1"/>
  <c r="X57" i="1" s="1"/>
  <c r="AA54" i="1"/>
  <c r="AB49" i="1"/>
  <c r="S44" i="1"/>
  <c r="S58" i="1" s="1"/>
  <c r="T39" i="1"/>
  <c r="T53" i="1" s="1"/>
  <c r="W50" i="1"/>
  <c r="AB52" i="1"/>
  <c r="V44" i="1"/>
  <c r="V58" i="1" s="1"/>
  <c r="V39" i="1"/>
  <c r="V53" i="1" s="1"/>
  <c r="W52" i="1"/>
  <c r="X50" i="1"/>
  <c r="T40" i="1"/>
  <c r="T54" i="1" s="1"/>
  <c r="Z44" i="1"/>
  <c r="Z58" i="1" s="1"/>
  <c r="AB56" i="1"/>
  <c r="X53" i="1"/>
  <c r="W40" i="1"/>
  <c r="W54" i="1" s="1"/>
  <c r="AB33" i="1"/>
  <c r="W42" i="1"/>
  <c r="W56" i="1" s="1"/>
  <c r="Z53" i="1"/>
  <c r="U42" i="1"/>
  <c r="U56" i="1" s="1"/>
  <c r="Z51" i="1"/>
  <c r="Y50" i="1"/>
  <c r="T41" i="1"/>
  <c r="T55" i="1" s="1"/>
  <c r="AB54" i="1"/>
  <c r="X44" i="1"/>
  <c r="X58" i="1" s="1"/>
  <c r="V40" i="1"/>
  <c r="V54" i="1" s="1"/>
  <c r="X52" i="1"/>
  <c r="Y43" i="1"/>
  <c r="Y57" i="1" s="1"/>
  <c r="AA55" i="1"/>
  <c r="W33" i="1"/>
  <c r="Y54" i="1"/>
  <c r="X41" i="1"/>
  <c r="X55" i="1" s="1"/>
  <c r="G95" i="2"/>
  <c r="E83" i="2"/>
  <c r="E97" i="2" s="1"/>
  <c r="C84" i="2"/>
  <c r="C98" i="2" s="1"/>
  <c r="H93" i="2"/>
  <c r="L89" i="2"/>
  <c r="L103" i="2" s="1"/>
  <c r="M102" i="2"/>
  <c r="C87" i="2"/>
  <c r="C101" i="2" s="1"/>
  <c r="K93" i="2"/>
  <c r="D81" i="2"/>
  <c r="D95" i="2" s="1"/>
  <c r="E94" i="2"/>
  <c r="F84" i="2"/>
  <c r="F98" i="2" s="1"/>
  <c r="H96" i="2"/>
  <c r="I94" i="2"/>
  <c r="D85" i="2"/>
  <c r="D99" i="2" s="1"/>
  <c r="G84" i="2"/>
  <c r="G98" i="2" s="1"/>
  <c r="H97" i="2"/>
  <c r="C88" i="2"/>
  <c r="C102" i="2" s="1"/>
  <c r="L93" i="2"/>
  <c r="N99" i="2"/>
  <c r="I90" i="2"/>
  <c r="I104" i="2" s="1"/>
  <c r="I95" i="2"/>
  <c r="E85" i="2"/>
  <c r="E99" i="2" s="1"/>
  <c r="H85" i="2"/>
  <c r="H99" i="2" s="1"/>
  <c r="I98" i="2"/>
  <c r="J79" i="2"/>
  <c r="J95" i="2"/>
  <c r="E86" i="2"/>
  <c r="E100" i="2" s="1"/>
  <c r="N101" i="2"/>
  <c r="K90" i="2"/>
  <c r="K104" i="2" s="1"/>
  <c r="M79" i="2"/>
  <c r="F79" i="2"/>
  <c r="L100" i="2"/>
  <c r="J88" i="2"/>
  <c r="J102" i="2" s="1"/>
  <c r="L98" i="2"/>
  <c r="H88" i="2"/>
  <c r="H102" i="2" s="1"/>
  <c r="J96" i="2"/>
  <c r="F86" i="2"/>
  <c r="F100" i="2" s="1"/>
  <c r="I79" i="2"/>
  <c r="D83" i="2"/>
  <c r="D97" i="2" s="1"/>
  <c r="G94" i="2"/>
  <c r="E88" i="2"/>
  <c r="E102" i="2" s="1"/>
  <c r="L95" i="2"/>
  <c r="E89" i="2"/>
  <c r="E103" i="2" s="1"/>
  <c r="M95" i="2"/>
  <c r="G88" i="2"/>
  <c r="G102" i="2" s="1"/>
  <c r="L97" i="2"/>
  <c r="K88" i="2"/>
  <c r="K102" i="2" s="1"/>
  <c r="L101" i="2"/>
  <c r="F89" i="2"/>
  <c r="F103" i="2" s="1"/>
  <c r="M96" i="2"/>
  <c r="D82" i="2"/>
  <c r="D96" i="2" s="1"/>
  <c r="F94" i="2"/>
  <c r="I97" i="2"/>
  <c r="G85" i="2"/>
  <c r="G99" i="2" s="1"/>
  <c r="M101" i="2"/>
  <c r="K89" i="2"/>
  <c r="K103" i="2" s="1"/>
  <c r="H95" i="2"/>
  <c r="E84" i="2"/>
  <c r="E98" i="2" s="1"/>
  <c r="J90" i="2"/>
  <c r="J104" i="2" s="1"/>
  <c r="N100" i="2"/>
  <c r="G79" i="2"/>
  <c r="K97" i="2"/>
  <c r="G87" i="2"/>
  <c r="G101" i="2" s="1"/>
  <c r="I96" i="2"/>
  <c r="F85" i="2"/>
  <c r="F99" i="2" s="1"/>
  <c r="E90" i="2"/>
  <c r="E104" i="2" s="1"/>
  <c r="N95" i="2"/>
  <c r="F83" i="2"/>
  <c r="F97" i="2" s="1"/>
  <c r="G96" i="2"/>
  <c r="L94" i="2"/>
  <c r="D88" i="2"/>
  <c r="D102" i="2" s="1"/>
  <c r="H86" i="2"/>
  <c r="H100" i="2" s="1"/>
  <c r="J98" i="2"/>
  <c r="J97" i="2"/>
  <c r="G86" i="2"/>
  <c r="G100" i="2" s="1"/>
  <c r="D84" i="2"/>
  <c r="D98" i="2" s="1"/>
  <c r="H94" i="2"/>
  <c r="K98" i="2"/>
  <c r="H87" i="2"/>
  <c r="H101" i="2" s="1"/>
  <c r="E87" i="2"/>
  <c r="E101" i="2" s="1"/>
  <c r="K95" i="2"/>
  <c r="E82" i="2"/>
  <c r="E96" i="2" s="1"/>
  <c r="F95" i="2"/>
  <c r="I88" i="2"/>
  <c r="I102" i="2" s="1"/>
  <c r="L99" i="2"/>
  <c r="N94" i="2"/>
  <c r="D90" i="2"/>
  <c r="D104" i="2" s="1"/>
  <c r="H89" i="2"/>
  <c r="H103" i="2" s="1"/>
  <c r="M98" i="2"/>
  <c r="I87" i="2"/>
  <c r="I101" i="2" s="1"/>
  <c r="K99" i="2"/>
  <c r="L90" i="2"/>
  <c r="L104" i="2" s="1"/>
  <c r="N102" i="2"/>
  <c r="F88" i="2"/>
  <c r="F102" i="2" s="1"/>
  <c r="L96" i="2"/>
  <c r="K94" i="2"/>
  <c r="D87" i="2"/>
  <c r="D101" i="2" s="1"/>
  <c r="D89" i="2"/>
  <c r="D103" i="2" s="1"/>
  <c r="M94" i="2"/>
  <c r="I86" i="2"/>
  <c r="I100" i="2" s="1"/>
  <c r="J99" i="2"/>
  <c r="J89" i="2"/>
  <c r="J103" i="2" s="1"/>
  <c r="M100" i="2"/>
  <c r="E79" i="2"/>
  <c r="D79" i="2"/>
  <c r="K96" i="2"/>
  <c r="F87" i="2"/>
  <c r="F101" i="2" s="1"/>
  <c r="J87" i="2"/>
  <c r="J101" i="2" s="1"/>
  <c r="K100" i="2"/>
  <c r="I89" i="2"/>
  <c r="I103" i="2" s="1"/>
  <c r="M99" i="2"/>
  <c r="G89" i="2"/>
  <c r="G103" i="2" s="1"/>
  <c r="M97" i="2"/>
  <c r="N79" i="2"/>
  <c r="M90" i="2"/>
  <c r="M104" i="2" s="1"/>
  <c r="N103" i="2"/>
  <c r="G90" i="2"/>
  <c r="G104" i="2" s="1"/>
  <c r="N97" i="2"/>
  <c r="F90" i="2"/>
  <c r="F104" i="2" s="1"/>
  <c r="N96" i="2"/>
  <c r="J94" i="2"/>
  <c r="D86" i="2"/>
  <c r="D100" i="2" s="1"/>
  <c r="H90" i="2"/>
  <c r="H104" i="2" s="1"/>
  <c r="N98" i="2"/>
  <c r="C225" i="12"/>
  <c r="C44" i="12" s="1"/>
  <c r="C271" i="12" s="1"/>
  <c r="Q35" i="12" l="1"/>
  <c r="Q49" i="12" s="1"/>
  <c r="S47" i="12"/>
  <c r="Q37" i="12"/>
  <c r="Q51" i="12" s="1"/>
  <c r="U47" i="12"/>
  <c r="T47" i="12"/>
  <c r="Q36" i="12"/>
  <c r="Q50" i="12" s="1"/>
  <c r="AB47" i="12"/>
  <c r="Q44" i="12"/>
  <c r="Q58" i="12" s="1"/>
  <c r="Q36" i="1"/>
  <c r="Q50" i="1" s="1"/>
  <c r="Y47" i="1"/>
  <c r="AA47" i="1"/>
  <c r="Q43" i="1"/>
  <c r="Q57" i="1" s="1"/>
  <c r="Q38" i="1"/>
  <c r="Q52" i="1" s="1"/>
  <c r="V47" i="1"/>
  <c r="Q39" i="1"/>
  <c r="Q53" i="1" s="1"/>
  <c r="W47" i="1"/>
  <c r="Q37" i="1"/>
  <c r="Q51" i="1" s="1"/>
  <c r="U47" i="1"/>
  <c r="AB47" i="1"/>
  <c r="Q44" i="1"/>
  <c r="Q58" i="1" s="1"/>
  <c r="C82" i="2"/>
  <c r="C96" i="2" s="1"/>
  <c r="F93" i="2"/>
  <c r="C89" i="2"/>
  <c r="C103" i="2" s="1"/>
  <c r="M93" i="2"/>
  <c r="G93" i="2"/>
  <c r="C83" i="2"/>
  <c r="C97" i="2" s="1"/>
  <c r="D93" i="2"/>
  <c r="C80" i="2"/>
  <c r="C94" i="2" s="1"/>
  <c r="E93" i="2"/>
  <c r="C81" i="2"/>
  <c r="C95" i="2" s="1"/>
  <c r="C86" i="2"/>
  <c r="C100" i="2" s="1"/>
  <c r="J93" i="2"/>
  <c r="I93" i="2"/>
  <c r="C85" i="2"/>
  <c r="C99" i="2" s="1"/>
  <c r="C90" i="2"/>
  <c r="C104" i="2" s="1"/>
  <c r="N93" i="2"/>
  <c r="C179" i="12"/>
  <c r="C180" i="12" s="1"/>
  <c r="C45" i="12"/>
  <c r="C77" i="12"/>
  <c r="C56" i="12"/>
  <c r="C65" i="12"/>
  <c r="C70" i="12"/>
  <c r="C83" i="12"/>
  <c r="C85" i="12"/>
  <c r="D45" i="12"/>
  <c r="C62" i="12"/>
  <c r="C84" i="12"/>
  <c r="C64" i="12"/>
  <c r="C49" i="12"/>
  <c r="C54" i="12"/>
  <c r="C60" i="12"/>
  <c r="C53" i="12"/>
  <c r="C47" i="12"/>
  <c r="C71" i="12"/>
  <c r="C75" i="12"/>
  <c r="C87" i="12"/>
  <c r="C81" i="12"/>
  <c r="C76" i="12"/>
  <c r="C59" i="12"/>
  <c r="C72" i="12"/>
  <c r="C48" i="12"/>
  <c r="C80" i="12"/>
  <c r="C68" i="12"/>
  <c r="C67" i="12"/>
  <c r="C78" i="12"/>
  <c r="C73" i="12"/>
  <c r="C61" i="12"/>
  <c r="C79" i="12"/>
  <c r="C57" i="12"/>
  <c r="C86" i="12"/>
  <c r="C66" i="12"/>
  <c r="C74" i="12"/>
  <c r="C69" i="12"/>
  <c r="C50" i="12"/>
  <c r="C55" i="12"/>
  <c r="C51" i="12"/>
  <c r="C63" i="12"/>
  <c r="C82" i="12"/>
  <c r="C52" i="12"/>
  <c r="C58" i="12"/>
  <c r="R60" i="12" l="1"/>
  <c r="R60" i="1"/>
  <c r="D10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<sst xmlns="http://schemas.openxmlformats.org/spreadsheetml/2006/main" count="1716" uniqueCount="87">
  <si>
    <t>Provinsi</t>
  </si>
  <si>
    <t>Kabupaten/Kota</t>
  </si>
  <si>
    <t>IPM</t>
  </si>
  <si>
    <t>IPG</t>
  </si>
  <si>
    <t>PPM</t>
  </si>
  <si>
    <t>PDRB_ADHK</t>
  </si>
  <si>
    <t>RLS</t>
  </si>
  <si>
    <t>AHH_L</t>
  </si>
  <si>
    <t>AHH_P</t>
  </si>
  <si>
    <t>GK</t>
  </si>
  <si>
    <t>PKKP</t>
  </si>
  <si>
    <t>TPT</t>
  </si>
  <si>
    <t>TPAK</t>
  </si>
  <si>
    <t>GR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</si>
  <si>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</si>
  <si>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</si>
  <si>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</si>
  <si>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</si>
  <si>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</si>
  <si>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</si>
  <si>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</si>
  <si>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</si>
  <si>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</si>
  <si>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</si>
  <si>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</si>
  <si>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</si>
  <si>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</si>
  <si>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</si>
  <si>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</si>
  <si>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</si>
  <si>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</si>
  <si>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</si>
  <si>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</si>
  <si>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</si>
  <si>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</si>
  <si>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</si>
  <si>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</si>
  <si>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</si>
  <si>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</si>
  <si>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</si>
  <si>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</si>
  <si>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</si>
  <si>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</si>
  <si>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</si>
  <si>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</si>
  <si>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</si>
  <si>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</si>
  <si>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</si>
  <si>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</si>
  <si>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</si>
  <si>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</si>
  <si>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</si>
  <si>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</si>
  <si>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</si>
  <si>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</si>
  <si>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</si>
  <si>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</si>
  <si>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</si>
  <si>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Source: https://www.bps.go.id/id/publication/2025/09/15/a1daf2f268d53d17506677ac/tinjauan-regional-berdasarkan-pdrb-kabupaten-kota-2020-2024--buku-2-pulau-jawa-bali.html</t>
  </si>
  <si>
    <t>Rata-rata:</t>
  </si>
  <si>
    <t>Max:</t>
  </si>
  <si>
    <t>Min:</t>
  </si>
  <si>
    <t>Source:</t>
  </si>
  <si>
    <t>Tingkat Pengangguran Terbuka Kabupaten/Kota - Tabel Statistik - Badan Pusat Statistik Provinsi Jawa Barat</t>
  </si>
  <si>
    <t>Tingkat Pengangguran Terbuka (TPT) Menurut Kabupaten/Kota di Provinsi Banten - Tabel Statistik - Badan Pusat Statistik Provinsi Banten</t>
  </si>
  <si>
    <t>Tingkat Pengangguran Terbuka (TPT) Provinsi DKI Jakarta Menurut Kabupaten/Kota - Tabel Statistik - Badan Pusat Statistik Provinsi DKI Jakarta</t>
  </si>
  <si>
    <t>Prevalensi Ketidakcukupan Konsumsi Pangan (Persen) Per Kabupaten/kota - Tabel Statistik - Badan Pusat Statistik Indonesia</t>
  </si>
  <si>
    <t>JP</t>
  </si>
  <si>
    <t>Average</t>
  </si>
  <si>
    <t>Bobot M</t>
  </si>
  <si>
    <t>Z</t>
  </si>
  <si>
    <t>sigma biasa</t>
  </si>
  <si>
    <t>sigma bobot</t>
  </si>
  <si>
    <t>mean</t>
  </si>
  <si>
    <t>sum</t>
  </si>
  <si>
    <t>sigma^3</t>
  </si>
  <si>
    <t>sigma^4</t>
  </si>
  <si>
    <t>simpangan baku bobot</t>
  </si>
  <si>
    <t>mean terbobot</t>
  </si>
  <si>
    <t>standar dev terbobot</t>
  </si>
  <si>
    <t>Koefisien Keruncingan</t>
  </si>
  <si>
    <t>gamma2</t>
  </si>
  <si>
    <t>V</t>
  </si>
  <si>
    <t>RV</t>
  </si>
  <si>
    <t>baru</t>
  </si>
  <si>
    <t>baru^kuadrat</t>
  </si>
  <si>
    <t>sum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</si>
</sst>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0"/>
    <numFmt numFmtId="165" formatCode="0.0000000000000000"/>
    <numFmt numFmtId="166" formatCode="0.00000000000000000"/>
    <numFmt numFmtId="167" formatCode="0.000000000000000000"/>
    <numFmt numFmtId="168" formatCode="0.0000000000000000000"/>
    <numFmt numFmtId="169" formatCode="0.00000000000000000000"/>
  </numFmts>
  <fonts count="7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0" xfId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6" fillId="0" borderId="0" xfId="0" applyFont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statistics-table/2/MjI2OSMy/prevalensi-ketidakcukupan-konsumsi-pangan--persen--per-kabupaten-kota--persen-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jakarta.bps.go.id/id/statistics-table/2/ODQjMg==/tingkat-pengangguran-terbuka-tpt-provinsi-dki-jakarta-menurut-kabupaten-kota.html" TargetMode="External"/><Relationship Id="rId2" Type="http://schemas.openxmlformats.org/officeDocument/2006/relationships/hyperlink" Target="https://banten.bps.go.id/id/statistics-table/2/MTU3IzI=/tingkat-pengangguran-terbuka-tpt-menurut-kabupaten-kota.html" TargetMode="External"/><Relationship Id="rId1" Type="http://schemas.openxmlformats.org/officeDocument/2006/relationships/hyperlink" Target="https://jabar.bps.go.id/id/statistics-table/2/NzMjMg==/tingkat-pengangguran-terbuka-kabupaten-ko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8"/>
  <sheetViews>
    <sheetView topLeftCell="J1" workbookViewId="0">
      <selection activeCell="Q1" sqref="Q1:AB60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2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67</v>
      </c>
      <c r="Q1" s="7" t="s">
        <v>83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x14ac:dyDescent="0.25">
      <c r="A2" s="3" t="s">
        <v>14</v>
      </c>
      <c r="B2" s="3" t="s">
        <v>15</v>
      </c>
      <c r="C2" s="4">
        <v>71.63</v>
      </c>
      <c r="D2" s="4">
        <v>93.39</v>
      </c>
      <c r="E2" s="6">
        <v>14.87</v>
      </c>
      <c r="F2" s="6">
        <v>3706.25</v>
      </c>
      <c r="G2" s="6">
        <v>8.68</v>
      </c>
      <c r="H2" s="4">
        <v>66.67</v>
      </c>
      <c r="I2" s="4">
        <v>70.739999999999995</v>
      </c>
      <c r="J2" s="4">
        <v>661852</v>
      </c>
      <c r="K2" s="4">
        <v>2.86</v>
      </c>
      <c r="L2" s="7">
        <v>7.37</v>
      </c>
      <c r="M2" s="7">
        <v>60.7</v>
      </c>
      <c r="N2" s="1">
        <v>0.30599999999999999</v>
      </c>
      <c r="O2" s="10">
        <v>27749</v>
      </c>
      <c r="Q2" s="7">
        <f>CORREL(C$2:C$42,C$2:C$42)</f>
        <v>1</v>
      </c>
      <c r="R2" s="7">
        <f>CORREL(C$2:C$42,D$2:D$42)</f>
        <v>0.77072250356740368</v>
      </c>
      <c r="S2" s="7">
        <f>CORREL(C$2:C$42,E$2:E$42)</f>
        <v>-0.69640158843583289</v>
      </c>
      <c r="T2" s="7">
        <f>CORREL(C$2:C$42,F$2:F$42)</f>
        <v>0.64494490882767352</v>
      </c>
      <c r="U2" s="7">
        <f>CORREL(C$2:C$42,G$2:G$42)</f>
        <v>0.9626751049097042</v>
      </c>
      <c r="V2" s="7">
        <f>CORREL(C$2:C$42,H$2:H$42)</f>
        <v>0.65217837049795191</v>
      </c>
      <c r="W2" s="7">
        <f>CORREL(C$2:C$42,I$2:I$42)</f>
        <v>0.65118053025306144</v>
      </c>
      <c r="X2" s="7">
        <f>CORREL(C$2:C$42,J$2:J$42)</f>
        <v>0.84541091743338903</v>
      </c>
      <c r="Y2" s="7">
        <f>CORREL(C$2:C$42,K$2:K$42)</f>
        <v>-0.70458464312382019</v>
      </c>
      <c r="Z2" s="7">
        <f>CORREL(C$2:C$42,L$2:L$42)</f>
        <v>0.23498052516781776</v>
      </c>
      <c r="AA2" s="7">
        <f>CORREL(C$2:C$42,M$2:M$42)</f>
        <v>-0.24657195271561214</v>
      </c>
      <c r="AB2" s="7">
        <f>CORREL(C$2:C$42,N$2:N$42)</f>
        <v>0.53243255364489706</v>
      </c>
    </row>
    <row r="3" spans="1:28" ht="15.75" customHeight="1" x14ac:dyDescent="0.25">
      <c r="A3" s="3" t="s">
        <v>14</v>
      </c>
      <c r="B3" s="3" t="s">
        <v>16</v>
      </c>
      <c r="C3" s="4">
        <v>84.72</v>
      </c>
      <c r="D3" s="4">
        <v>96.14</v>
      </c>
      <c r="E3" s="6">
        <v>3.43</v>
      </c>
      <c r="F3" s="6">
        <v>419257.19</v>
      </c>
      <c r="G3" s="6">
        <v>11.63</v>
      </c>
      <c r="H3" s="4">
        <v>72.23</v>
      </c>
      <c r="I3" s="4">
        <v>76.040000000000006</v>
      </c>
      <c r="J3" s="4">
        <v>782731</v>
      </c>
      <c r="K3" s="4">
        <v>1.5</v>
      </c>
      <c r="L3" s="7">
        <v>10.79</v>
      </c>
      <c r="M3" s="7">
        <v>63.81</v>
      </c>
      <c r="N3" s="1">
        <v>0.42699999999999999</v>
      </c>
      <c r="O3" s="10">
        <v>2226812</v>
      </c>
      <c r="Q3" s="7">
        <f>R2</f>
        <v>0.77072250356740368</v>
      </c>
      <c r="R3" s="7">
        <f>CORREL(D$2:D$42,D$2:D$42)</f>
        <v>0.99999999999999978</v>
      </c>
      <c r="S3" s="7">
        <f>CORREL(D$2:D$42,E$2:E$42)</f>
        <v>-0.48205545842281883</v>
      </c>
      <c r="T3" s="7">
        <f>CORREL(D$2:D$42,F$2:F$42)</f>
        <v>0.48478428807400908</v>
      </c>
      <c r="U3" s="7">
        <f>CORREL(D$2:D$42,G$2:G$42)</f>
        <v>0.73134476102766077</v>
      </c>
      <c r="V3" s="7">
        <f>CORREL(D$2:D$42,H$2:H$42)</f>
        <v>0.39433982923490829</v>
      </c>
      <c r="W3" s="7">
        <f>CORREL(D$2:D$42,I$2:I$42)</f>
        <v>0.39385124594747706</v>
      </c>
      <c r="X3" s="7">
        <f>CORREL(D$2:D$42,J$2:J$42)</f>
        <v>0.6570763285192881</v>
      </c>
      <c r="Y3" s="7">
        <f>CORREL(D$2:D$42,K$2:K$42)</f>
        <v>-0.5654964041848991</v>
      </c>
      <c r="Z3" s="7">
        <f>CORREL(D$2:D$42,L$2:L$42)</f>
        <v>8.6230032321355135E-2</v>
      </c>
      <c r="AA3" s="7">
        <f>CORREL(D$2:D$42,M$2:M$42)</f>
        <v>-0.11652269746012833</v>
      </c>
      <c r="AB3" s="7">
        <f>CORREL(D$2:D$42,N$2:N$42)</f>
        <v>0.36143844459067731</v>
      </c>
    </row>
    <row r="4" spans="1:28" ht="15.75" customHeight="1" x14ac:dyDescent="0.25">
      <c r="A4" s="3" t="s">
        <v>14</v>
      </c>
      <c r="B4" s="3" t="s">
        <v>17</v>
      </c>
      <c r="C4" s="4">
        <v>82.66</v>
      </c>
      <c r="D4" s="4">
        <v>95.48</v>
      </c>
      <c r="E4" s="6">
        <v>4.16</v>
      </c>
      <c r="F4" s="6">
        <v>299515.15999999997</v>
      </c>
      <c r="G4" s="6">
        <v>11.66</v>
      </c>
      <c r="H4" s="4">
        <v>72.599999999999994</v>
      </c>
      <c r="I4" s="4">
        <v>76.22</v>
      </c>
      <c r="J4" s="4">
        <v>581954</v>
      </c>
      <c r="K4" s="4">
        <v>2.1800000000000002</v>
      </c>
      <c r="L4" s="7">
        <v>9.2899999999999991</v>
      </c>
      <c r="M4" s="7">
        <v>61.98</v>
      </c>
      <c r="N4" s="1">
        <v>0.36299999999999999</v>
      </c>
      <c r="O4" s="10">
        <v>3037139</v>
      </c>
      <c r="Q4" s="7">
        <f>S2</f>
        <v>-0.69640158843583289</v>
      </c>
      <c r="R4" s="7">
        <f>S3</f>
        <v>-0.48205545842281883</v>
      </c>
      <c r="S4" s="7">
        <f>CORREL(E$2:E$42,E$2:E$42)</f>
        <v>1.0000000000000002</v>
      </c>
      <c r="T4" s="7">
        <f>CORREL(E$2:E$42,F$2:F$42)</f>
        <v>-0.50484693768138145</v>
      </c>
      <c r="U4" s="7">
        <f>CORREL(E$2:E$42,G$2:G$42)</f>
        <v>-0.70945540853469014</v>
      </c>
      <c r="V4" s="7">
        <f>CORREL(E$2:E$42,H$2:H$42)</f>
        <v>-0.25953495536131127</v>
      </c>
      <c r="W4" s="7">
        <f>CORREL(E$2:E$42,I$2:I$42)</f>
        <v>-0.25285961480934782</v>
      </c>
      <c r="X4" s="7">
        <f>CORREL(E$2:E$42,J$2:J$42)</f>
        <v>-0.4947112101863021</v>
      </c>
      <c r="Y4" s="7">
        <f>CORREL(E$2:E$42,K$2:K$42)</f>
        <v>0.68505587331298468</v>
      </c>
      <c r="Z4" s="7">
        <f>CORREL(E$2:E$42,L$2:L$42)</f>
        <v>-0.29591909316607046</v>
      </c>
      <c r="AA4" s="7">
        <f>CORREL(E$2:E$42,M$2:M$42)</f>
        <v>0.18782887374631352</v>
      </c>
      <c r="AB4" s="7">
        <f>CORREL(E$2:E$42,N$2:N$42)</f>
        <v>-0.2707057351620018</v>
      </c>
    </row>
    <row r="5" spans="1:28" ht="15.75" customHeight="1" x14ac:dyDescent="0.25">
      <c r="A5" s="3" t="s">
        <v>14</v>
      </c>
      <c r="B5" s="3" t="s">
        <v>18</v>
      </c>
      <c r="C5" s="4">
        <v>81.39</v>
      </c>
      <c r="D5" s="4">
        <v>96</v>
      </c>
      <c r="E5" s="6">
        <v>4.51</v>
      </c>
      <c r="F5" s="6">
        <v>449518.14</v>
      </c>
      <c r="G5" s="6">
        <v>11.38</v>
      </c>
      <c r="H5" s="4">
        <v>72.22</v>
      </c>
      <c r="I5" s="4">
        <v>75.92</v>
      </c>
      <c r="J5" s="4">
        <v>672328</v>
      </c>
      <c r="K5" s="4">
        <v>1.97</v>
      </c>
      <c r="L5" s="7">
        <v>10.97</v>
      </c>
      <c r="M5" s="7">
        <v>63.73</v>
      </c>
      <c r="N5" s="1">
        <v>0.39</v>
      </c>
      <c r="O5" s="10">
        <v>1056896</v>
      </c>
      <c r="Q5" s="7">
        <f>T2</f>
        <v>0.64494490882767352</v>
      </c>
      <c r="R5" s="7">
        <f>T3</f>
        <v>0.48478428807400908</v>
      </c>
      <c r="S5" s="7">
        <f>T4</f>
        <v>-0.50484693768138145</v>
      </c>
      <c r="T5" s="7">
        <f>CORREL(F$2:F$42,F$2:F$42)</f>
        <v>1</v>
      </c>
      <c r="U5" s="7">
        <f>CORREL(F$2:F$42,G$2:G$42)</f>
        <v>0.55174514451814427</v>
      </c>
      <c r="V5" s="7">
        <f>CORREL(F$2:F$42,H$2:H$42)</f>
        <v>0.41150936426486029</v>
      </c>
      <c r="W5" s="7">
        <f>CORREL(F$2:F$42,I$2:I$42)</f>
        <v>0.41039520009346969</v>
      </c>
      <c r="X5" s="7">
        <f>CORREL(F$2:F$42,J$2:J$42)</f>
        <v>0.56977024747539673</v>
      </c>
      <c r="Y5" s="7">
        <f>CORREL(F$2:F$42,K$2:K$42)</f>
        <v>-0.4748825671918363</v>
      </c>
      <c r="Z5" s="7">
        <f>CORREL(F$2:F$42,L$2:L$42)</f>
        <v>0.30413700306739078</v>
      </c>
      <c r="AA5" s="7">
        <f>CORREL(F$2:F$42,M$2:M$42)</f>
        <v>-9.7335432399036678E-2</v>
      </c>
      <c r="AB5" s="7">
        <f>CORREL(F$2:F$42,N$2:N$42)</f>
        <v>0.4020704148525871</v>
      </c>
    </row>
    <row r="6" spans="1:28" ht="15.75" customHeight="1" x14ac:dyDescent="0.25">
      <c r="A6" s="3" t="s">
        <v>14</v>
      </c>
      <c r="B6" s="3" t="s">
        <v>19</v>
      </c>
      <c r="C6" s="4">
        <v>81.38</v>
      </c>
      <c r="D6" s="4">
        <v>95.16</v>
      </c>
      <c r="E6" s="6">
        <v>4.25</v>
      </c>
      <c r="F6" s="6">
        <v>316172.61</v>
      </c>
      <c r="G6" s="6">
        <v>10.63</v>
      </c>
      <c r="H6" s="4">
        <v>71.72</v>
      </c>
      <c r="I6" s="4">
        <v>75.430000000000007</v>
      </c>
      <c r="J6" s="4">
        <v>557803</v>
      </c>
      <c r="K6" s="4">
        <v>1.78</v>
      </c>
      <c r="L6" s="7">
        <v>12.27</v>
      </c>
      <c r="M6" s="7">
        <v>64.37</v>
      </c>
      <c r="N6" s="1">
        <v>0.38</v>
      </c>
      <c r="O6" s="10">
        <v>2434511</v>
      </c>
      <c r="Q6" s="7">
        <f>U2</f>
        <v>0.9626751049097042</v>
      </c>
      <c r="R6" s="7">
        <f>U3</f>
        <v>0.73134476102766077</v>
      </c>
      <c r="S6" s="7">
        <f>U4</f>
        <v>-0.70945540853469014</v>
      </c>
      <c r="T6" s="7">
        <f>U5</f>
        <v>0.55174514451814427</v>
      </c>
      <c r="U6" s="7">
        <f>CORREL(G$2:G$42,G$2:G$42)</f>
        <v>0.99999999999999978</v>
      </c>
      <c r="V6" s="7">
        <f>CORREL(G$2:G$42,H$2:H$42)</f>
        <v>0.56126954957387598</v>
      </c>
      <c r="W6" s="7">
        <f>CORREL(G$2:G$42,I$2:I$42)</f>
        <v>0.55945797187878332</v>
      </c>
      <c r="X6" s="7">
        <f>CORREL(G$2:G$42,J$2:J$42)</f>
        <v>0.81601008717716128</v>
      </c>
      <c r="Y6" s="7">
        <f>CORREL(G$2:G$42,K$2:K$42)</f>
        <v>-0.70988900747361172</v>
      </c>
      <c r="Z6" s="7">
        <f>CORREL(G$2:G$42,L$2:L$42)</f>
        <v>0.24222830508885196</v>
      </c>
      <c r="AA6" s="7">
        <f>CORREL(G$2:G$42,M$2:M$42)</f>
        <v>-0.31799879154790117</v>
      </c>
      <c r="AB6" s="7">
        <f>CORREL(G$2:G$42,N$2:N$42)</f>
        <v>0.55070546172469259</v>
      </c>
    </row>
    <row r="7" spans="1:28" ht="15.75" customHeight="1" x14ac:dyDescent="0.25">
      <c r="A7" s="3" t="s">
        <v>14</v>
      </c>
      <c r="B7" s="3" t="s">
        <v>20</v>
      </c>
      <c r="C7" s="4">
        <v>80.290000000000006</v>
      </c>
      <c r="D7" s="4">
        <v>93.53</v>
      </c>
      <c r="E7" s="6">
        <v>6.78</v>
      </c>
      <c r="F7" s="6">
        <v>312100.58</v>
      </c>
      <c r="G7" s="6">
        <v>10.8</v>
      </c>
      <c r="H7" s="4">
        <v>71.36</v>
      </c>
      <c r="I7" s="4">
        <v>75.13</v>
      </c>
      <c r="J7" s="4">
        <v>594240</v>
      </c>
      <c r="K7" s="4">
        <v>2.1800000000000002</v>
      </c>
      <c r="L7" s="7">
        <v>11.79</v>
      </c>
      <c r="M7" s="7">
        <v>65.97</v>
      </c>
      <c r="N7" s="1">
        <v>0.41299999999999998</v>
      </c>
      <c r="O7" s="10">
        <v>1778981</v>
      </c>
      <c r="Q7" s="7">
        <f>V2</f>
        <v>0.65217837049795191</v>
      </c>
      <c r="R7" s="7">
        <f>V3</f>
        <v>0.39433982923490829</v>
      </c>
      <c r="S7" s="7">
        <f>V4</f>
        <v>-0.25953495536131127</v>
      </c>
      <c r="T7" s="7">
        <f>V5</f>
        <v>0.41150936426486029</v>
      </c>
      <c r="U7" s="7">
        <f>V6</f>
        <v>0.56126954957387598</v>
      </c>
      <c r="V7" s="7">
        <f>CORREL(H$2:H$42,H$2:H$42)</f>
        <v>1</v>
      </c>
      <c r="W7" s="7">
        <f>CORREL(H$2:H$42,I$2:I$42)</f>
        <v>0.99945480761804462</v>
      </c>
      <c r="X7" s="7">
        <f>CORREL(H$2:H$42,J$2:J$42)</f>
        <v>0.44257978540911008</v>
      </c>
      <c r="Y7" s="7">
        <f>CORREL(H$2:H$42,K$2:K$42)</f>
        <v>-0.10617802298823971</v>
      </c>
      <c r="Z7" s="7">
        <f>CORREL(H$2:H$42,L$2:L$42)</f>
        <v>0.12915119369950617</v>
      </c>
      <c r="AA7" s="7">
        <f>CORREL(H$2:H$42,M$2:M$42)</f>
        <v>-5.4708653052849512E-2</v>
      </c>
      <c r="AB7" s="7">
        <f>CORREL(H$2:H$42,N$2:N$42)</f>
        <v>0.57401024798765632</v>
      </c>
    </row>
    <row r="8" spans="1:28" ht="15.75" customHeight="1" x14ac:dyDescent="0.25">
      <c r="A8" s="3" t="s">
        <v>21</v>
      </c>
      <c r="B8" s="3" t="s">
        <v>22</v>
      </c>
      <c r="C8" s="4">
        <v>70.400000000000006</v>
      </c>
      <c r="D8" s="4">
        <v>89.23</v>
      </c>
      <c r="E8" s="6">
        <v>7.69</v>
      </c>
      <c r="F8" s="6">
        <v>154113.60000000001</v>
      </c>
      <c r="G8" s="6">
        <v>8.3000000000000007</v>
      </c>
      <c r="H8" s="4">
        <v>69.239999999999995</v>
      </c>
      <c r="I8" s="4">
        <v>73.06</v>
      </c>
      <c r="J8" s="4">
        <v>402877</v>
      </c>
      <c r="K8" s="4">
        <v>4.0599999999999996</v>
      </c>
      <c r="L8" s="7">
        <v>14.29</v>
      </c>
      <c r="M8" s="7">
        <v>62.65</v>
      </c>
      <c r="N8" s="1">
        <v>0.38100000000000001</v>
      </c>
      <c r="O8" s="10">
        <v>5409370</v>
      </c>
      <c r="Q8" s="7">
        <f>W2</f>
        <v>0.65118053025306144</v>
      </c>
      <c r="R8" s="7">
        <f>W3</f>
        <v>0.39385124594747706</v>
      </c>
      <c r="S8" s="7">
        <f>W4</f>
        <v>-0.25285961480934782</v>
      </c>
      <c r="T8" s="7">
        <f>W5</f>
        <v>0.41039520009346969</v>
      </c>
      <c r="U8" s="7">
        <f>W6</f>
        <v>0.55945797187878332</v>
      </c>
      <c r="V8" s="7">
        <f>W7</f>
        <v>0.99945480761804462</v>
      </c>
      <c r="W8" s="7">
        <f>CORREL(I$2:I$42,I$2:I$42)</f>
        <v>1</v>
      </c>
      <c r="X8" s="7">
        <f>CORREL(I$2:I$42,J$2:J$42)</f>
        <v>0.44885922799979833</v>
      </c>
      <c r="Y8" s="7">
        <f>CORREL(I$2:I$42,K$2:K$42)</f>
        <v>-0.10736476491709949</v>
      </c>
      <c r="Z8" s="7">
        <f>CORREL(I$2:I$42,L$2:L$42)</f>
        <v>0.12080251485635032</v>
      </c>
      <c r="AA8" s="7">
        <f>CORREL(I$2:I$42,M$2:M$42)</f>
        <v>-5.1207832752875215E-2</v>
      </c>
      <c r="AB8" s="7">
        <f>CORREL(I$2:I$42,N$2:N$42)</f>
        <v>0.57117617298169321</v>
      </c>
    </row>
    <row r="9" spans="1:28" ht="15.75" customHeight="1" x14ac:dyDescent="0.25">
      <c r="A9" s="3" t="s">
        <v>21</v>
      </c>
      <c r="B9" s="3" t="s">
        <v>23</v>
      </c>
      <c r="C9" s="4">
        <v>66.88</v>
      </c>
      <c r="D9" s="4">
        <v>87.37</v>
      </c>
      <c r="E9" s="6">
        <v>7.09</v>
      </c>
      <c r="F9" s="6">
        <v>46205.279999999999</v>
      </c>
      <c r="G9" s="6">
        <v>7.07</v>
      </c>
      <c r="H9" s="4">
        <v>69.03</v>
      </c>
      <c r="I9" s="4">
        <v>72.87</v>
      </c>
      <c r="J9" s="4">
        <v>328284</v>
      </c>
      <c r="K9" s="4">
        <v>4.8899999999999997</v>
      </c>
      <c r="L9" s="7">
        <v>9.6</v>
      </c>
      <c r="M9" s="7">
        <v>61.56</v>
      </c>
      <c r="N9" s="1">
        <v>0.33400000000000002</v>
      </c>
      <c r="O9" s="10">
        <v>2718740</v>
      </c>
      <c r="Q9" s="7">
        <f>X2</f>
        <v>0.84541091743338903</v>
      </c>
      <c r="R9" s="4">
        <f>X3</f>
        <v>0.6570763285192881</v>
      </c>
      <c r="S9" s="7">
        <f>X4</f>
        <v>-0.4947112101863021</v>
      </c>
      <c r="T9" s="7">
        <f>X5</f>
        <v>0.56977024747539673</v>
      </c>
      <c r="U9" s="7">
        <f>X6</f>
        <v>0.81601008717716128</v>
      </c>
      <c r="V9" s="7">
        <f>X7</f>
        <v>0.44257978540911008</v>
      </c>
      <c r="W9" s="7">
        <f>X8</f>
        <v>0.44885922799979833</v>
      </c>
      <c r="X9" s="7">
        <f>CORREL(J$2:J$42,J$2:J$42)</f>
        <v>1</v>
      </c>
      <c r="Y9" s="7">
        <f>CORREL(J$2:J$42,K$2:K$42)</f>
        <v>-0.74569310133408728</v>
      </c>
      <c r="Z9" s="7">
        <f>CORREL(J$2:J$42,L$2:L$42)</f>
        <v>0.16855082713563996</v>
      </c>
      <c r="AA9" s="7">
        <f>CORREL(J$2:J$42,M$2:M$42)</f>
        <v>-0.23105169717255553</v>
      </c>
      <c r="AB9" s="7">
        <f>CORREL(J$2:J$42,N$2:N$42)</f>
        <v>0.27534691382056642</v>
      </c>
    </row>
    <row r="10" spans="1:28" ht="15.75" customHeight="1" x14ac:dyDescent="0.25">
      <c r="A10" s="3" t="s">
        <v>21</v>
      </c>
      <c r="B10" s="3" t="s">
        <v>24</v>
      </c>
      <c r="C10" s="4">
        <v>65.36</v>
      </c>
      <c r="D10" s="4">
        <v>84.14</v>
      </c>
      <c r="E10" s="6">
        <v>10.36</v>
      </c>
      <c r="F10" s="6">
        <v>31792.32</v>
      </c>
      <c r="G10" s="6">
        <v>7.18</v>
      </c>
      <c r="H10" s="4">
        <v>68.17</v>
      </c>
      <c r="I10" s="4">
        <v>72.03</v>
      </c>
      <c r="J10" s="4">
        <v>371699</v>
      </c>
      <c r="K10" s="4">
        <v>4.75</v>
      </c>
      <c r="L10" s="7">
        <v>11.05</v>
      </c>
      <c r="M10" s="7">
        <v>69.260000000000005</v>
      </c>
      <c r="N10" s="1">
        <v>0.35</v>
      </c>
      <c r="O10" s="10">
        <v>2470560</v>
      </c>
      <c r="Q10" s="7">
        <f>Y2</f>
        <v>-0.70458464312382019</v>
      </c>
      <c r="R10" s="4">
        <f>Y3</f>
        <v>-0.5654964041848991</v>
      </c>
      <c r="S10" s="7">
        <f>Y4</f>
        <v>0.68505587331298468</v>
      </c>
      <c r="T10" s="7">
        <f>Y5</f>
        <v>-0.4748825671918363</v>
      </c>
      <c r="U10" s="7">
        <f>Y6</f>
        <v>-0.70988900747361172</v>
      </c>
      <c r="V10" s="7">
        <f>Y7</f>
        <v>-0.10617802298823971</v>
      </c>
      <c r="W10" s="7">
        <f>Y8</f>
        <v>-0.10736476491709949</v>
      </c>
      <c r="X10" s="7">
        <f>Y9</f>
        <v>-0.74569310133408728</v>
      </c>
      <c r="Y10" s="7">
        <f>CORREL(K$2:K$42,K$2:K$42)</f>
        <v>1</v>
      </c>
      <c r="Z10" s="7">
        <f>CORREL(K$2:K$42,L$2:L$42)</f>
        <v>-0.2863006822046737</v>
      </c>
      <c r="AA10" s="7">
        <f>CORREL(K$2:K$42,M$2:M$42)</f>
        <v>0.23759144355470341</v>
      </c>
      <c r="AB10" s="7">
        <f>CORREL(K$2:K$42,N$2:N$42)</f>
        <v>-6.2609456113721942E-2</v>
      </c>
    </row>
    <row r="11" spans="1:28" ht="15.75" customHeight="1" x14ac:dyDescent="0.25">
      <c r="A11" s="3" t="s">
        <v>21</v>
      </c>
      <c r="B11" s="3" t="s">
        <v>25</v>
      </c>
      <c r="C11" s="4">
        <v>72.39</v>
      </c>
      <c r="D11" s="4">
        <v>93.95</v>
      </c>
      <c r="E11" s="6">
        <v>6.91</v>
      </c>
      <c r="F11" s="6">
        <v>81060.97</v>
      </c>
      <c r="G11" s="6">
        <v>8.9600000000000009</v>
      </c>
      <c r="H11" s="4">
        <v>71.67</v>
      </c>
      <c r="I11" s="4">
        <v>75.34</v>
      </c>
      <c r="J11" s="4">
        <v>367403</v>
      </c>
      <c r="K11" s="4">
        <v>5.07</v>
      </c>
      <c r="L11" s="7">
        <v>8.58</v>
      </c>
      <c r="M11" s="7">
        <v>62.2</v>
      </c>
      <c r="N11" s="1">
        <v>0.41399999999999998</v>
      </c>
      <c r="O11" s="10">
        <v>3616540</v>
      </c>
      <c r="Q11" s="7">
        <f>Z2</f>
        <v>0.23498052516781776</v>
      </c>
      <c r="R11" s="4">
        <f>Z3</f>
        <v>8.6230032321355135E-2</v>
      </c>
      <c r="S11" s="7">
        <f>Z4</f>
        <v>-0.29591909316607046</v>
      </c>
      <c r="T11" s="7">
        <f>Z5</f>
        <v>0.30413700306739078</v>
      </c>
      <c r="U11" s="7">
        <f>Z6</f>
        <v>0.24222830508885196</v>
      </c>
      <c r="V11" s="7">
        <f>Z7</f>
        <v>0.12915119369950617</v>
      </c>
      <c r="W11" s="7">
        <f>Z8</f>
        <v>0.12080251485635032</v>
      </c>
      <c r="X11" s="7">
        <f>Z9</f>
        <v>0.16855082713563996</v>
      </c>
      <c r="Y11" s="7">
        <f>Z10</f>
        <v>-0.2863006822046737</v>
      </c>
      <c r="Z11" s="7">
        <f>CORREL(L$2:L$42,L$2:L$42)</f>
        <v>1.0000000000000002</v>
      </c>
      <c r="AA11" s="7">
        <f>CORREL(L$2:L$42,M$2:M$42)</f>
        <v>-0.54828036327127627</v>
      </c>
      <c r="AB11" s="7">
        <f>CORREL(L$2:L$42,N$2:N$42)</f>
        <v>0.35720926810573905</v>
      </c>
    </row>
    <row r="12" spans="1:28" ht="15.75" customHeight="1" x14ac:dyDescent="0.25">
      <c r="A12" s="3" t="s">
        <v>21</v>
      </c>
      <c r="B12" s="3" t="s">
        <v>26</v>
      </c>
      <c r="C12" s="4">
        <v>66.12</v>
      </c>
      <c r="D12" s="4">
        <v>82.29</v>
      </c>
      <c r="E12" s="6">
        <v>9.98</v>
      </c>
      <c r="F12" s="6">
        <v>38598.43</v>
      </c>
      <c r="G12" s="6">
        <v>7.52</v>
      </c>
      <c r="H12" s="4">
        <v>69.489999999999995</v>
      </c>
      <c r="I12" s="4">
        <v>73.3</v>
      </c>
      <c r="J12" s="4">
        <v>310437</v>
      </c>
      <c r="K12" s="4">
        <v>4.0599999999999996</v>
      </c>
      <c r="L12" s="7">
        <v>8.9499999999999993</v>
      </c>
      <c r="M12" s="7">
        <v>61.11</v>
      </c>
      <c r="N12" s="1">
        <v>0.35199999999999998</v>
      </c>
      <c r="O12" s="10">
        <v>2577350</v>
      </c>
      <c r="Q12" s="7">
        <f>AA2</f>
        <v>-0.24657195271561214</v>
      </c>
      <c r="R12" s="4">
        <f>AA3</f>
        <v>-0.11652269746012833</v>
      </c>
      <c r="S12" s="7">
        <f>AA4</f>
        <v>0.18782887374631352</v>
      </c>
      <c r="T12" s="7">
        <f>AA5</f>
        <v>-9.7335432399036678E-2</v>
      </c>
      <c r="U12" s="7">
        <f>AA6</f>
        <v>-0.31799879154790117</v>
      </c>
      <c r="V12" s="7">
        <f>AA7</f>
        <v>-5.4708653052849512E-2</v>
      </c>
      <c r="W12" s="7">
        <f>AA8</f>
        <v>-5.1207832752875215E-2</v>
      </c>
      <c r="X12" s="7">
        <f>AA9</f>
        <v>-0.23105169717255553</v>
      </c>
      <c r="Y12" s="7">
        <f>AA10</f>
        <v>0.23759144355470341</v>
      </c>
      <c r="Z12" s="7">
        <f>AA11</f>
        <v>-0.54828036327127627</v>
      </c>
      <c r="AA12" s="7">
        <f>CORREL(M$2:M$42,M$2:M$42)</f>
        <v>1</v>
      </c>
      <c r="AB12" s="7">
        <f>CORREL(M$2:M$42,N$2:N$42)</f>
        <v>-0.31898591759246508</v>
      </c>
    </row>
    <row r="13" spans="1:28" ht="15.75" customHeight="1" x14ac:dyDescent="0.25">
      <c r="A13" s="3" t="s">
        <v>21</v>
      </c>
      <c r="B13" s="3" t="s">
        <v>27</v>
      </c>
      <c r="C13" s="4">
        <v>65.67</v>
      </c>
      <c r="D13" s="4">
        <v>86.02</v>
      </c>
      <c r="E13" s="6">
        <v>10.34</v>
      </c>
      <c r="F13" s="6">
        <v>24344.86</v>
      </c>
      <c r="G13" s="6">
        <v>7.35</v>
      </c>
      <c r="H13" s="4">
        <v>67.510000000000005</v>
      </c>
      <c r="I13" s="4">
        <v>71.39</v>
      </c>
      <c r="J13" s="4">
        <v>323880</v>
      </c>
      <c r="K13" s="4">
        <v>5.64</v>
      </c>
      <c r="L13" s="7">
        <v>7.12</v>
      </c>
      <c r="M13" s="7">
        <v>69.540000000000006</v>
      </c>
      <c r="N13" s="1">
        <v>0.34300000000000003</v>
      </c>
      <c r="O13" s="10">
        <v>1861060</v>
      </c>
      <c r="Q13" s="7">
        <f>AB2</f>
        <v>0.53243255364489706</v>
      </c>
      <c r="R13" s="4">
        <f>AB3</f>
        <v>0.36143844459067731</v>
      </c>
      <c r="S13" s="7">
        <f>AB4</f>
        <v>-0.2707057351620018</v>
      </c>
      <c r="T13" s="7">
        <f>AB5</f>
        <v>0.4020704148525871</v>
      </c>
      <c r="U13" s="7">
        <f>AB6</f>
        <v>0.55070546172469259</v>
      </c>
      <c r="V13" s="7">
        <f>AB7</f>
        <v>0.57401024798765632</v>
      </c>
      <c r="W13" s="7">
        <f>AB8</f>
        <v>0.57117617298169321</v>
      </c>
      <c r="X13" s="7">
        <f>AB9</f>
        <v>0.27534691382056642</v>
      </c>
      <c r="Y13" s="7">
        <f>AB10</f>
        <v>-6.2609456113721942E-2</v>
      </c>
      <c r="Z13" s="7">
        <f>AB11</f>
        <v>0.35720926810573905</v>
      </c>
      <c r="AA13" s="7">
        <f>AB12</f>
        <v>-0.31898591759246508</v>
      </c>
      <c r="AB13" s="7">
        <f>CORREL(N$2:N$42,N$2:N$42)</f>
        <v>0.99999999999999978</v>
      </c>
    </row>
    <row r="14" spans="1:28" ht="15.75" customHeight="1" x14ac:dyDescent="0.25">
      <c r="A14" s="3" t="s">
        <v>21</v>
      </c>
      <c r="B14" s="3" t="s">
        <v>28</v>
      </c>
      <c r="C14" s="4">
        <v>70.489999999999995</v>
      </c>
      <c r="D14" s="4">
        <v>86.61</v>
      </c>
      <c r="E14" s="6">
        <v>7.62</v>
      </c>
      <c r="F14" s="6">
        <v>21970.41</v>
      </c>
      <c r="G14" s="5">
        <v>7.7</v>
      </c>
      <c r="H14" s="4">
        <v>69.92</v>
      </c>
      <c r="I14" s="4">
        <v>73.72</v>
      </c>
      <c r="J14" s="4">
        <v>378108</v>
      </c>
      <c r="K14" s="4">
        <v>5.1100000000000003</v>
      </c>
      <c r="L14" s="7">
        <v>5.66</v>
      </c>
      <c r="M14" s="7">
        <v>71.41</v>
      </c>
      <c r="N14" s="1">
        <v>0.33600000000000002</v>
      </c>
      <c r="O14" s="10">
        <v>1226050</v>
      </c>
      <c r="Q14" s="7">
        <f>SUMSQ(Q2:AB13) - 12</f>
        <v>32.223948473150571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 x14ac:dyDescent="0.25">
      <c r="A15" s="3" t="s">
        <v>21</v>
      </c>
      <c r="B15" s="3" t="s">
        <v>29</v>
      </c>
      <c r="C15" s="4">
        <v>69.38</v>
      </c>
      <c r="D15" s="4">
        <v>86.81</v>
      </c>
      <c r="E15" s="6">
        <v>12.82</v>
      </c>
      <c r="F15" s="6">
        <v>16882.759999999998</v>
      </c>
      <c r="G15" s="6">
        <v>7.57</v>
      </c>
      <c r="H15" s="4">
        <v>71.72</v>
      </c>
      <c r="I15" s="4">
        <v>75.42</v>
      </c>
      <c r="J15" s="4">
        <v>352358</v>
      </c>
      <c r="K15" s="4">
        <v>3.51</v>
      </c>
      <c r="L15" s="7">
        <v>11.22</v>
      </c>
      <c r="M15" s="7">
        <v>61.98</v>
      </c>
      <c r="N15" s="1">
        <v>0.36099999999999999</v>
      </c>
      <c r="O15" s="10">
        <v>1162590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25">
      <c r="A16" s="3" t="s">
        <v>21</v>
      </c>
      <c r="B16" s="3" t="s">
        <v>30</v>
      </c>
      <c r="C16" s="4">
        <v>68.75</v>
      </c>
      <c r="D16" s="4">
        <v>83.47</v>
      </c>
      <c r="E16" s="6">
        <v>11.24</v>
      </c>
      <c r="F16" s="6">
        <v>33304.050000000003</v>
      </c>
      <c r="G16" s="6">
        <v>6.92</v>
      </c>
      <c r="H16" s="4">
        <v>70.08</v>
      </c>
      <c r="I16" s="4">
        <v>73.87</v>
      </c>
      <c r="J16" s="4">
        <v>393452</v>
      </c>
      <c r="K16" s="4">
        <v>5.41</v>
      </c>
      <c r="L16" s="7">
        <v>11.52</v>
      </c>
      <c r="M16" s="7">
        <v>63.79</v>
      </c>
      <c r="N16" s="1">
        <v>0.33800000000000002</v>
      </c>
      <c r="O16" s="10">
        <v>2270350</v>
      </c>
      <c r="Q16" s="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 x14ac:dyDescent="0.25">
      <c r="A17" s="3" t="s">
        <v>21</v>
      </c>
      <c r="B17" s="3" t="s">
        <v>31</v>
      </c>
      <c r="C17" s="4">
        <v>67.59</v>
      </c>
      <c r="D17" s="4">
        <v>85.91</v>
      </c>
      <c r="E17" s="6">
        <v>11.43</v>
      </c>
      <c r="F17" s="6">
        <v>21754.54</v>
      </c>
      <c r="G17" s="6">
        <v>7.27</v>
      </c>
      <c r="H17" s="4">
        <v>68.31</v>
      </c>
      <c r="I17" s="4">
        <v>72.180000000000007</v>
      </c>
      <c r="J17" s="4">
        <v>453201</v>
      </c>
      <c r="K17" s="4">
        <v>4.17</v>
      </c>
      <c r="L17" s="7">
        <v>5.84</v>
      </c>
      <c r="M17" s="7">
        <v>69.66</v>
      </c>
      <c r="N17" s="1">
        <v>0.33600000000000002</v>
      </c>
      <c r="O17" s="10">
        <v>1301570</v>
      </c>
      <c r="Q17" s="7" t="s">
        <v>82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 x14ac:dyDescent="0.25">
      <c r="A18" s="3" t="s">
        <v>21</v>
      </c>
      <c r="B18" s="3" t="s">
        <v>32</v>
      </c>
      <c r="C18" s="4">
        <v>71.64</v>
      </c>
      <c r="D18" s="4">
        <v>95.18</v>
      </c>
      <c r="E18" s="6">
        <v>10.26</v>
      </c>
      <c r="F18" s="6">
        <v>23665.01</v>
      </c>
      <c r="G18" s="6">
        <v>8.51</v>
      </c>
      <c r="H18" s="4">
        <v>70.52</v>
      </c>
      <c r="I18" s="4">
        <v>74.3</v>
      </c>
      <c r="J18" s="4">
        <v>353092</v>
      </c>
      <c r="K18" s="4">
        <v>4.01</v>
      </c>
      <c r="L18" s="7">
        <v>9.89</v>
      </c>
      <c r="M18" s="7">
        <v>68.959999999999994</v>
      </c>
      <c r="N18" s="1">
        <v>0.38400000000000001</v>
      </c>
      <c r="O18" s="10">
        <v>1149470</v>
      </c>
      <c r="Q18" s="7" cm="1">
        <f t="array" ref="Q18:AB29">MINVERSE(Q2:AB13)</f>
        <v>42.066684891169423</v>
      </c>
      <c r="R18" s="7">
        <v>-4.7828527328052424</v>
      </c>
      <c r="S18" s="7">
        <v>2.8218038113893877</v>
      </c>
      <c r="T18" s="7">
        <v>-3.4009536747631777</v>
      </c>
      <c r="U18" s="7">
        <v>-21.514315043285489</v>
      </c>
      <c r="V18" s="7">
        <v>-24.036656074182591</v>
      </c>
      <c r="W18" s="7">
        <v>15.570558882413472</v>
      </c>
      <c r="X18" s="7">
        <v>-5.3178099851843665</v>
      </c>
      <c r="Y18" s="7">
        <v>3.5091601301897177</v>
      </c>
      <c r="Z18" s="7">
        <v>0.79612602590907611</v>
      </c>
      <c r="AA18" s="7">
        <v>-0.17173181076182698</v>
      </c>
      <c r="AB18" s="7">
        <v>-0.44107324688076832</v>
      </c>
    </row>
    <row r="19" spans="1:28" ht="15.75" customHeight="1" x14ac:dyDescent="0.25">
      <c r="A19" s="3" t="s">
        <v>21</v>
      </c>
      <c r="B19" s="3" t="s">
        <v>33</v>
      </c>
      <c r="C19" s="4">
        <v>67.290000000000006</v>
      </c>
      <c r="D19" s="4">
        <v>88.15</v>
      </c>
      <c r="E19" s="6">
        <v>12.7</v>
      </c>
      <c r="F19" s="6">
        <v>59200</v>
      </c>
      <c r="G19" s="6">
        <v>6.3</v>
      </c>
      <c r="H19" s="4">
        <v>69.72</v>
      </c>
      <c r="I19" s="4">
        <v>73.52</v>
      </c>
      <c r="J19" s="4">
        <v>474807</v>
      </c>
      <c r="K19" s="4">
        <v>4.28</v>
      </c>
      <c r="L19" s="7">
        <v>9.2100000000000009</v>
      </c>
      <c r="M19" s="7">
        <v>69.53</v>
      </c>
      <c r="N19" s="1">
        <v>0.31900000000000001</v>
      </c>
      <c r="O19" s="10">
        <v>1829230</v>
      </c>
      <c r="Q19" s="7">
        <v>-4.7828527328052397</v>
      </c>
      <c r="R19" s="7">
        <v>2.9109967291703671</v>
      </c>
      <c r="S19" s="7">
        <v>-0.65654591940376383</v>
      </c>
      <c r="T19" s="7">
        <v>9.4162583427237087E-2</v>
      </c>
      <c r="U19" s="7">
        <v>0.87681853446430824</v>
      </c>
      <c r="V19" s="7">
        <v>-0.87758337524698515</v>
      </c>
      <c r="W19" s="7">
        <v>1.9498328677813284</v>
      </c>
      <c r="X19" s="7">
        <v>0.42554265830385102</v>
      </c>
      <c r="Y19" s="7">
        <v>-9.2901789127709383E-2</v>
      </c>
      <c r="Z19" s="7">
        <v>0.12103267767955563</v>
      </c>
      <c r="AA19" s="7">
        <v>-0.20474882135760297</v>
      </c>
      <c r="AB19" s="7">
        <v>-4.5549723935533408E-2</v>
      </c>
    </row>
    <row r="20" spans="1:28" ht="15.75" customHeight="1" x14ac:dyDescent="0.25">
      <c r="A20" s="3" t="s">
        <v>21</v>
      </c>
      <c r="B20" s="3" t="s">
        <v>34</v>
      </c>
      <c r="C20" s="4">
        <v>68.95</v>
      </c>
      <c r="D20" s="4">
        <v>90.53</v>
      </c>
      <c r="E20" s="6">
        <v>9.31</v>
      </c>
      <c r="F20" s="6">
        <v>28344.32</v>
      </c>
      <c r="G20" s="6">
        <v>7.1</v>
      </c>
      <c r="H20" s="4">
        <v>70.459999999999994</v>
      </c>
      <c r="I20" s="4">
        <v>74.22</v>
      </c>
      <c r="J20" s="4">
        <v>351885</v>
      </c>
      <c r="K20" s="4">
        <v>4.8099999999999996</v>
      </c>
      <c r="L20" s="7">
        <v>9.48</v>
      </c>
      <c r="M20" s="7">
        <v>66.7</v>
      </c>
      <c r="N20" s="1">
        <v>0.35</v>
      </c>
      <c r="O20" s="10">
        <v>1605250</v>
      </c>
      <c r="Q20" s="7">
        <v>2.8218038113893829</v>
      </c>
      <c r="R20" s="7">
        <v>-0.65654591940376295</v>
      </c>
      <c r="S20" s="7">
        <v>3.4835934851456383</v>
      </c>
      <c r="T20" s="7">
        <v>0.50372952006962635</v>
      </c>
      <c r="U20" s="7">
        <v>1.7264402175433391</v>
      </c>
      <c r="V20" s="7">
        <v>3.6129995096753946</v>
      </c>
      <c r="W20" s="7">
        <v>-4.301485324529235</v>
      </c>
      <c r="X20" s="7">
        <v>-2.1833100573734758</v>
      </c>
      <c r="Y20" s="7">
        <v>-1.0148952220946927</v>
      </c>
      <c r="Z20" s="7">
        <v>0.34725532160218991</v>
      </c>
      <c r="AA20" s="7">
        <v>0.2793493766953965</v>
      </c>
      <c r="AB20" s="7">
        <v>-0.58968680452388988</v>
      </c>
    </row>
    <row r="21" spans="1:28" ht="15.75" customHeight="1" x14ac:dyDescent="0.25">
      <c r="A21" s="3" t="s">
        <v>21</v>
      </c>
      <c r="B21" s="3" t="s">
        <v>35</v>
      </c>
      <c r="C21" s="4">
        <v>70.819999999999993</v>
      </c>
      <c r="D21" s="4">
        <v>86.56</v>
      </c>
      <c r="E21" s="6">
        <v>8.27</v>
      </c>
      <c r="F21" s="6">
        <v>45293.24</v>
      </c>
      <c r="G21" s="6">
        <v>8.09</v>
      </c>
      <c r="H21" s="4">
        <v>69.05</v>
      </c>
      <c r="I21" s="4">
        <v>72.89</v>
      </c>
      <c r="J21" s="4">
        <v>378287</v>
      </c>
      <c r="K21" s="4">
        <v>4.08</v>
      </c>
      <c r="L21" s="7">
        <v>11.07</v>
      </c>
      <c r="M21" s="7">
        <v>60.91</v>
      </c>
      <c r="N21" s="1">
        <v>0.41399999999999998</v>
      </c>
      <c r="O21" s="10">
        <v>994330</v>
      </c>
      <c r="Q21" s="7">
        <v>-3.4009536747631746</v>
      </c>
      <c r="R21" s="7">
        <v>9.4162583427236907E-2</v>
      </c>
      <c r="S21" s="7">
        <v>0.50372952006962568</v>
      </c>
      <c r="T21" s="7">
        <v>2.3476145710998244</v>
      </c>
      <c r="U21" s="7">
        <v>3.0215165423580466</v>
      </c>
      <c r="V21" s="7">
        <v>-2.2344200598186745</v>
      </c>
      <c r="W21" s="7">
        <v>2.6565123347103898</v>
      </c>
      <c r="X21" s="7">
        <v>-0.80147177563395289</v>
      </c>
      <c r="Y21" s="7">
        <v>-4.6163270382776712E-2</v>
      </c>
      <c r="Z21" s="7">
        <v>-0.33244014242385361</v>
      </c>
      <c r="AA21" s="7">
        <v>-0.29470861499016598</v>
      </c>
      <c r="AB21" s="7">
        <v>-0.686986296341625</v>
      </c>
    </row>
    <row r="22" spans="1:28" ht="15.75" customHeight="1" x14ac:dyDescent="0.25">
      <c r="A22" s="3" t="s">
        <v>21</v>
      </c>
      <c r="B22" s="3" t="s">
        <v>36</v>
      </c>
      <c r="C22" s="4">
        <v>70.66</v>
      </c>
      <c r="D22" s="4">
        <v>90.12</v>
      </c>
      <c r="E22" s="6">
        <v>8.26</v>
      </c>
      <c r="F22" s="6">
        <v>157710.59</v>
      </c>
      <c r="G22" s="6">
        <v>7.77</v>
      </c>
      <c r="H22" s="4">
        <v>70.25</v>
      </c>
      <c r="I22" s="4">
        <v>74.03</v>
      </c>
      <c r="J22" s="4">
        <v>466152</v>
      </c>
      <c r="K22" s="4">
        <v>3.79</v>
      </c>
      <c r="L22" s="7">
        <v>11.52</v>
      </c>
      <c r="M22" s="7">
        <v>64.900000000000006</v>
      </c>
      <c r="N22" s="1">
        <v>0.32700000000000001</v>
      </c>
      <c r="O22" s="10">
        <v>2434090</v>
      </c>
      <c r="Q22" s="7">
        <v>-21.51431504328545</v>
      </c>
      <c r="R22" s="7">
        <v>0.8768185344643058</v>
      </c>
      <c r="S22" s="7">
        <v>1.7264402175433333</v>
      </c>
      <c r="T22" s="7">
        <v>3.0215165423580439</v>
      </c>
      <c r="U22" s="7">
        <v>23.370950495322369</v>
      </c>
      <c r="V22" s="7">
        <v>-19.635353213333865</v>
      </c>
      <c r="W22" s="7">
        <v>22.218090997510977</v>
      </c>
      <c r="X22" s="7">
        <v>-1.9732475360470907</v>
      </c>
      <c r="Y22" s="7">
        <v>0.85775477799678634</v>
      </c>
      <c r="Z22" s="7">
        <v>1.1868149145194737</v>
      </c>
      <c r="AA22" s="7">
        <v>1.1855490058891638</v>
      </c>
      <c r="AB22" s="7">
        <v>-3.3482963434262092</v>
      </c>
    </row>
    <row r="23" spans="1:28" ht="15.75" customHeight="1" x14ac:dyDescent="0.25">
      <c r="A23" s="3" t="s">
        <v>21</v>
      </c>
      <c r="B23" s="3" t="s">
        <v>37</v>
      </c>
      <c r="C23" s="4">
        <v>74.069999999999993</v>
      </c>
      <c r="D23" s="4">
        <v>88.58</v>
      </c>
      <c r="E23" s="6">
        <v>4.82</v>
      </c>
      <c r="F23" s="6">
        <v>242971.39</v>
      </c>
      <c r="G23" s="6">
        <v>9.1199999999999992</v>
      </c>
      <c r="H23" s="4">
        <v>71.81</v>
      </c>
      <c r="I23" s="4">
        <v>75.5</v>
      </c>
      <c r="J23" s="4">
        <v>518667</v>
      </c>
      <c r="K23" s="4">
        <v>2.2599999999999998</v>
      </c>
      <c r="L23" s="7">
        <v>11.54</v>
      </c>
      <c r="M23" s="7">
        <v>64.23</v>
      </c>
      <c r="N23" s="1">
        <v>0.372</v>
      </c>
      <c r="O23" s="10">
        <v>3101730</v>
      </c>
      <c r="Q23" s="7">
        <v>-24.036656074183348</v>
      </c>
      <c r="R23" s="7">
        <v>-0.87758337524688512</v>
      </c>
      <c r="S23" s="7">
        <v>3.6129995096754088</v>
      </c>
      <c r="T23" s="7">
        <v>-2.2344200598186283</v>
      </c>
      <c r="U23" s="7">
        <v>-19.635353213333797</v>
      </c>
      <c r="V23" s="7">
        <v>1273.4878142182467</v>
      </c>
      <c r="W23" s="7">
        <v>-1265.5383411354462</v>
      </c>
      <c r="X23" s="7">
        <v>32.296674542509173</v>
      </c>
      <c r="Y23" s="7">
        <v>-14.449681447522739</v>
      </c>
      <c r="Z23" s="7">
        <v>-14.018790867248063</v>
      </c>
      <c r="AA23" s="7">
        <v>-1.1031317923476938</v>
      </c>
      <c r="AB23" s="7">
        <v>12.51341325378568</v>
      </c>
    </row>
    <row r="24" spans="1:28" ht="15.75" customHeight="1" x14ac:dyDescent="0.25">
      <c r="A24" s="3" t="s">
        <v>21</v>
      </c>
      <c r="B24" s="3" t="s">
        <v>38</v>
      </c>
      <c r="C24" s="4">
        <v>68.08</v>
      </c>
      <c r="D24" s="4">
        <v>79.06</v>
      </c>
      <c r="E24" s="6">
        <v>10.49</v>
      </c>
      <c r="F24" s="6">
        <v>30640.41</v>
      </c>
      <c r="G24" s="6">
        <v>8.19</v>
      </c>
      <c r="H24" s="4">
        <v>70.430000000000007</v>
      </c>
      <c r="I24" s="4">
        <v>74.2</v>
      </c>
      <c r="J24" s="4">
        <v>362212</v>
      </c>
      <c r="K24" s="4">
        <v>5.07</v>
      </c>
      <c r="L24" s="7">
        <v>12.25</v>
      </c>
      <c r="M24" s="7">
        <v>59.91</v>
      </c>
      <c r="N24" s="1">
        <v>0.376</v>
      </c>
      <c r="O24" s="10">
        <v>1782190</v>
      </c>
      <c r="Q24" s="7">
        <v>15.570558882414186</v>
      </c>
      <c r="R24" s="7">
        <v>1.9498328677812919</v>
      </c>
      <c r="S24" s="7">
        <v>-4.3014853245293461</v>
      </c>
      <c r="T24" s="7">
        <v>2.6565123347103459</v>
      </c>
      <c r="U24" s="7">
        <v>22.21809099751091</v>
      </c>
      <c r="V24" s="7">
        <v>-1265.5383411354464</v>
      </c>
      <c r="W24" s="7">
        <v>1261.6199892115999</v>
      </c>
      <c r="X24" s="7">
        <v>-31.85507424507232</v>
      </c>
      <c r="Y24" s="7">
        <v>12.307883805651624</v>
      </c>
      <c r="Z24" s="7">
        <v>13.544685302225911</v>
      </c>
      <c r="AA24" s="7">
        <v>0.64906656009604258</v>
      </c>
      <c r="AB24" s="7">
        <v>-12.727940710786696</v>
      </c>
    </row>
    <row r="25" spans="1:28" ht="15.75" customHeight="1" x14ac:dyDescent="0.25">
      <c r="A25" s="3" t="s">
        <v>21</v>
      </c>
      <c r="B25" s="3" t="s">
        <v>39</v>
      </c>
      <c r="C25" s="4">
        <v>68.06</v>
      </c>
      <c r="D25" s="4">
        <v>89.78</v>
      </c>
      <c r="E25" s="6">
        <v>8.99</v>
      </c>
      <c r="F25" s="6">
        <v>7738.97</v>
      </c>
      <c r="G25" s="6">
        <v>7.74</v>
      </c>
      <c r="H25" s="4">
        <v>69.489999999999995</v>
      </c>
      <c r="I25" s="4">
        <v>73.290000000000006</v>
      </c>
      <c r="J25" s="4">
        <v>382264</v>
      </c>
      <c r="K25" s="4">
        <v>4.3899999999999997</v>
      </c>
      <c r="L25" s="7">
        <v>5.08</v>
      </c>
      <c r="M25" s="7">
        <v>76.790000000000006</v>
      </c>
      <c r="N25" s="1">
        <v>0.33500000000000002</v>
      </c>
      <c r="O25" s="10">
        <v>422410</v>
      </c>
      <c r="Q25" s="7">
        <v>-5.317809985184371</v>
      </c>
      <c r="R25" s="7">
        <v>0.42554265830384885</v>
      </c>
      <c r="S25" s="7">
        <v>-2.1833100573734683</v>
      </c>
      <c r="T25" s="7">
        <v>-0.80147177563395255</v>
      </c>
      <c r="U25" s="7">
        <v>-1.9732475360470962</v>
      </c>
      <c r="V25" s="7">
        <v>32.296674542509272</v>
      </c>
      <c r="W25" s="7">
        <v>-31.85507424507243</v>
      </c>
      <c r="X25" s="7">
        <v>6.8582509696824268</v>
      </c>
      <c r="Y25" s="7">
        <v>1.3090248983695261</v>
      </c>
      <c r="Z25" s="7">
        <v>-0.24174908130476946</v>
      </c>
      <c r="AA25" s="7">
        <v>0.1963181414184241</v>
      </c>
      <c r="AB25" s="7">
        <v>1.4942334713971313</v>
      </c>
    </row>
    <row r="26" spans="1:28" ht="15.75" customHeight="1" x14ac:dyDescent="0.25">
      <c r="A26" s="3" t="s">
        <v>21</v>
      </c>
      <c r="B26" s="3" t="s">
        <v>40</v>
      </c>
      <c r="C26" s="4">
        <v>76.11</v>
      </c>
      <c r="D26" s="4">
        <v>91.02</v>
      </c>
      <c r="E26" s="6">
        <v>6.68</v>
      </c>
      <c r="F26" s="6">
        <v>32162.74</v>
      </c>
      <c r="G26" s="6">
        <v>10.33</v>
      </c>
      <c r="H26" s="4">
        <v>71.739999999999995</v>
      </c>
      <c r="I26" s="4">
        <v>75.44</v>
      </c>
      <c r="J26" s="4">
        <v>547399</v>
      </c>
      <c r="K26" s="4">
        <v>2.95</v>
      </c>
      <c r="L26" s="7">
        <v>12.68</v>
      </c>
      <c r="M26" s="7">
        <v>60.81</v>
      </c>
      <c r="N26" s="1">
        <v>0.41199999999999998</v>
      </c>
      <c r="O26" s="10">
        <v>1040569.9999999999</v>
      </c>
      <c r="Q26" s="7">
        <v>3.5091601301897164</v>
      </c>
      <c r="R26" s="7">
        <v>-9.2901789127710133E-2</v>
      </c>
      <c r="S26" s="7">
        <v>-1.014895222094693</v>
      </c>
      <c r="T26" s="7">
        <v>-4.6163270382777934E-2</v>
      </c>
      <c r="U26" s="7">
        <v>0.85775477799677791</v>
      </c>
      <c r="V26" s="7">
        <v>-14.449681447522245</v>
      </c>
      <c r="W26" s="7">
        <v>12.30788380565113</v>
      </c>
      <c r="X26" s="7">
        <v>1.3090248983695389</v>
      </c>
      <c r="Y26" s="7">
        <v>5.6450054853263616</v>
      </c>
      <c r="Z26" s="7">
        <v>1.1845639708553908</v>
      </c>
      <c r="AA26" s="7">
        <v>0.23623635621496863</v>
      </c>
      <c r="AB26" s="7">
        <v>-1.6538512635659401</v>
      </c>
    </row>
    <row r="27" spans="1:28" x14ac:dyDescent="0.25">
      <c r="A27" s="3" t="s">
        <v>21</v>
      </c>
      <c r="B27" s="3" t="s">
        <v>41</v>
      </c>
      <c r="C27" s="4">
        <v>74.209999999999994</v>
      </c>
      <c r="D27" s="4">
        <v>91.36</v>
      </c>
      <c r="E27" s="5">
        <v>7.7</v>
      </c>
      <c r="F27" s="6">
        <v>8534.7199999999993</v>
      </c>
      <c r="G27" s="6">
        <v>9.59</v>
      </c>
      <c r="H27" s="4">
        <v>70.52</v>
      </c>
      <c r="I27" s="4">
        <v>74.28</v>
      </c>
      <c r="J27" s="4">
        <v>547415</v>
      </c>
      <c r="K27" s="4">
        <v>3.65</v>
      </c>
      <c r="L27" s="7">
        <v>12.17</v>
      </c>
      <c r="M27" s="7">
        <v>55.74</v>
      </c>
      <c r="N27" s="1">
        <v>0.39700000000000002</v>
      </c>
      <c r="O27" s="10">
        <v>344830</v>
      </c>
      <c r="Q27" s="7">
        <v>0.79612602590909121</v>
      </c>
      <c r="R27" s="7">
        <v>0.1210326776795539</v>
      </c>
      <c r="S27" s="7">
        <v>0.3472553216021903</v>
      </c>
      <c r="T27" s="7">
        <v>-0.33244014242385561</v>
      </c>
      <c r="U27" s="7">
        <v>1.1868149145194622</v>
      </c>
      <c r="V27" s="7">
        <v>-14.018790867247807</v>
      </c>
      <c r="W27" s="7">
        <v>13.544685302225652</v>
      </c>
      <c r="X27" s="7">
        <v>-0.24174908130476311</v>
      </c>
      <c r="Y27" s="7">
        <v>1.1845639708553941</v>
      </c>
      <c r="Z27" s="7">
        <v>2.1155741798884686</v>
      </c>
      <c r="AA27" s="7">
        <v>0.95448007198216578</v>
      </c>
      <c r="AB27" s="7">
        <v>-0.89352550454766977</v>
      </c>
    </row>
    <row r="28" spans="1:28" x14ac:dyDescent="0.25">
      <c r="A28" s="3" t="s">
        <v>21</v>
      </c>
      <c r="B28" s="3" t="s">
        <v>42</v>
      </c>
      <c r="C28" s="4">
        <v>81.510000000000005</v>
      </c>
      <c r="D28" s="4">
        <v>94.68</v>
      </c>
      <c r="E28" s="6">
        <v>3.99</v>
      </c>
      <c r="F28" s="6">
        <v>193144.95</v>
      </c>
      <c r="G28" s="6">
        <v>10.75</v>
      </c>
      <c r="H28" s="4">
        <v>72.45</v>
      </c>
      <c r="I28" s="4">
        <v>75.97</v>
      </c>
      <c r="J28" s="4">
        <v>500452</v>
      </c>
      <c r="K28" s="4">
        <v>2.82</v>
      </c>
      <c r="L28" s="7">
        <v>11.19</v>
      </c>
      <c r="M28" s="7">
        <v>64.709999999999994</v>
      </c>
      <c r="N28" s="1">
        <v>0.40200000000000002</v>
      </c>
      <c r="O28" s="10">
        <v>2438350</v>
      </c>
      <c r="Q28" s="7">
        <v>-0.17173181076182317</v>
      </c>
      <c r="R28" s="7">
        <v>-0.20474882135760325</v>
      </c>
      <c r="S28" s="7">
        <v>0.27934937669539606</v>
      </c>
      <c r="T28" s="7">
        <v>-0.29470861499016682</v>
      </c>
      <c r="U28" s="7">
        <v>1.1855490058891589</v>
      </c>
      <c r="V28" s="7">
        <v>-1.1031317923476549</v>
      </c>
      <c r="W28" s="7">
        <v>0.64906656009600305</v>
      </c>
      <c r="X28" s="7">
        <v>0.1963181414184253</v>
      </c>
      <c r="Y28" s="7">
        <v>0.23623635621496855</v>
      </c>
      <c r="Z28" s="7">
        <v>0.95448007198216533</v>
      </c>
      <c r="AA28" s="7">
        <v>1.7633894571807134</v>
      </c>
      <c r="AB28" s="7">
        <v>0.15142639428918689</v>
      </c>
    </row>
    <row r="29" spans="1:28" x14ac:dyDescent="0.25">
      <c r="A29" s="3" t="s">
        <v>21</v>
      </c>
      <c r="B29" s="3" t="s">
        <v>43</v>
      </c>
      <c r="C29" s="4">
        <v>74.89</v>
      </c>
      <c r="D29" s="4">
        <v>94.39</v>
      </c>
      <c r="E29" s="6">
        <v>9.52</v>
      </c>
      <c r="F29" s="6">
        <v>16648.21</v>
      </c>
      <c r="G29" s="6">
        <v>9.91</v>
      </c>
      <c r="H29" s="4">
        <v>70.349999999999994</v>
      </c>
      <c r="I29" s="4">
        <v>74.13</v>
      </c>
      <c r="J29" s="4">
        <v>457954</v>
      </c>
      <c r="K29" s="4">
        <v>4.5199999999999996</v>
      </c>
      <c r="L29" s="7">
        <v>10.97</v>
      </c>
      <c r="M29" s="7">
        <v>63.76</v>
      </c>
      <c r="N29" s="1">
        <v>0.42099999999999999</v>
      </c>
      <c r="O29" s="10">
        <v>332580</v>
      </c>
      <c r="Q29" s="7">
        <v>-0.44107324688077243</v>
      </c>
      <c r="R29" s="7">
        <v>-4.5549723935533019E-2</v>
      </c>
      <c r="S29" s="7">
        <v>-0.58968680452388822</v>
      </c>
      <c r="T29" s="7">
        <v>-0.68698629634162434</v>
      </c>
      <c r="U29" s="7">
        <v>-3.348296343426207</v>
      </c>
      <c r="V29" s="7">
        <v>12.513413253785526</v>
      </c>
      <c r="W29" s="7">
        <v>-12.727940710786543</v>
      </c>
      <c r="X29" s="7">
        <v>1.4942334713971275</v>
      </c>
      <c r="Y29" s="7">
        <v>-1.6538512635659433</v>
      </c>
      <c r="Z29" s="7">
        <v>-0.89352550454767043</v>
      </c>
      <c r="AA29" s="7">
        <v>0.15142639428918567</v>
      </c>
      <c r="AB29" s="7">
        <v>3.151383721593132</v>
      </c>
    </row>
    <row r="30" spans="1:28" x14ac:dyDescent="0.25">
      <c r="A30" s="3" t="s">
        <v>21</v>
      </c>
      <c r="B30" s="3" t="s">
        <v>44</v>
      </c>
      <c r="C30" s="4">
        <v>81.5</v>
      </c>
      <c r="D30" s="4">
        <v>92.95</v>
      </c>
      <c r="E30" s="6">
        <v>4.38</v>
      </c>
      <c r="F30" s="6">
        <v>67619.240000000005</v>
      </c>
      <c r="G30" s="6">
        <v>11.16</v>
      </c>
      <c r="H30" s="4">
        <v>73.22</v>
      </c>
      <c r="I30" s="4">
        <v>76.709999999999994</v>
      </c>
      <c r="J30" s="4">
        <v>657953</v>
      </c>
      <c r="K30" s="4">
        <v>1.33</v>
      </c>
      <c r="L30" s="7">
        <v>10.68</v>
      </c>
      <c r="M30" s="7">
        <v>64.739999999999995</v>
      </c>
      <c r="N30" s="1">
        <v>0.35199999999999998</v>
      </c>
      <c r="O30" s="10">
        <v>2536120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5">
      <c r="A31" s="3" t="s">
        <v>21</v>
      </c>
      <c r="B31" s="3" t="s">
        <v>45</v>
      </c>
      <c r="C31" s="4">
        <v>80.97</v>
      </c>
      <c r="D31" s="4">
        <v>93.01</v>
      </c>
      <c r="E31" s="6">
        <v>2.4500000000000002</v>
      </c>
      <c r="F31" s="6">
        <v>48135.93</v>
      </c>
      <c r="G31" s="6">
        <v>11.28</v>
      </c>
      <c r="H31" s="4">
        <v>72.61</v>
      </c>
      <c r="I31" s="4">
        <v>76.42</v>
      </c>
      <c r="J31" s="4">
        <v>688194</v>
      </c>
      <c r="K31" s="4">
        <v>1.26</v>
      </c>
      <c r="L31" s="7">
        <v>9.8699999999999992</v>
      </c>
      <c r="M31" s="7">
        <v>63.96</v>
      </c>
      <c r="N31" s="1">
        <v>0.34399999999999997</v>
      </c>
      <c r="O31" s="10">
        <v>2046830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5">
      <c r="A32" s="3" t="s">
        <v>21</v>
      </c>
      <c r="B32" s="3" t="s">
        <v>46</v>
      </c>
      <c r="C32" s="4">
        <v>77.83</v>
      </c>
      <c r="D32" s="4">
        <v>92.01</v>
      </c>
      <c r="E32" s="6">
        <v>5.1100000000000003</v>
      </c>
      <c r="F32" s="6">
        <v>22340.560000000001</v>
      </c>
      <c r="G32" s="6">
        <v>10.96</v>
      </c>
      <c r="H32" s="4">
        <v>72.19</v>
      </c>
      <c r="I32" s="4">
        <v>75.77</v>
      </c>
      <c r="J32" s="4">
        <v>511375</v>
      </c>
      <c r="K32" s="4">
        <v>2.66</v>
      </c>
      <c r="L32" s="7">
        <v>13.3</v>
      </c>
      <c r="M32" s="7">
        <v>62.67</v>
      </c>
      <c r="N32" s="1">
        <v>0.38</v>
      </c>
      <c r="O32" s="10">
        <v>566170</v>
      </c>
      <c r="Q32" s="7" t="s">
        <v>84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5">
      <c r="A33" s="3" t="s">
        <v>21</v>
      </c>
      <c r="B33" s="3" t="s">
        <v>47</v>
      </c>
      <c r="C33" s="4">
        <v>73.040000000000006</v>
      </c>
      <c r="D33" s="4">
        <v>91.64</v>
      </c>
      <c r="E33" s="6">
        <v>12.97</v>
      </c>
      <c r="F33" s="6">
        <v>15430.02</v>
      </c>
      <c r="G33" s="6">
        <v>9.33</v>
      </c>
      <c r="H33" s="4">
        <v>70.25</v>
      </c>
      <c r="I33" s="4">
        <v>74.02</v>
      </c>
      <c r="J33" s="4">
        <v>470150</v>
      </c>
      <c r="K33" s="4">
        <v>4.17</v>
      </c>
      <c r="L33" s="7">
        <v>7.99</v>
      </c>
      <c r="M33" s="7">
        <v>66.540000000000006</v>
      </c>
      <c r="N33" s="1">
        <v>0.36599999999999999</v>
      </c>
      <c r="O33" s="10">
        <v>713670</v>
      </c>
      <c r="Q33" s="7">
        <f>-(Q18)/SQRT(Q18*Q18)</f>
        <v>-1</v>
      </c>
      <c r="R33" s="7">
        <f>-(R18)/SQRT(Q18*R19)</f>
        <v>0.43221218454270366</v>
      </c>
      <c r="S33" s="7">
        <f>-(S18)/SQRT(Q18*S20)</f>
        <v>-0.23310089269416065</v>
      </c>
      <c r="T33" s="7">
        <f>-(T18)/SQRT(Q18*T21)</f>
        <v>0.34223007618940204</v>
      </c>
      <c r="U33" s="7">
        <f>-(U18)/SQRT(Q18*U22)</f>
        <v>0.68615177631653079</v>
      </c>
      <c r="V33" s="7">
        <f>-(V18)/SQRT(Q18*V23)</f>
        <v>0.10385024094120965</v>
      </c>
      <c r="W33" s="7">
        <f>-(W18)/SQRT(Q18*W24)</f>
        <v>-6.7588183788723361E-2</v>
      </c>
      <c r="X33" s="7">
        <f>-(X18)/SQRT(Q18*X25)</f>
        <v>0.31308119600539536</v>
      </c>
      <c r="Y33" s="7">
        <f>-(Y18)/SQRT(Q18*Y26)</f>
        <v>-0.22772035811396973</v>
      </c>
      <c r="Z33" s="7">
        <f>-(Z18)/SQRT(Q18*Z27)</f>
        <v>-8.4391469332270846E-2</v>
      </c>
      <c r="AA33" s="7">
        <f>-(AA18)/SQRT(Q18*AA28)</f>
        <v>1.9939188774099063E-2</v>
      </c>
      <c r="AB33" s="7">
        <f>-(AB18)/SQRT(Q18*AB29)</f>
        <v>3.8308127903797839E-2</v>
      </c>
    </row>
    <row r="34" spans="1:28" x14ac:dyDescent="0.25">
      <c r="A34" s="3" t="s">
        <v>21</v>
      </c>
      <c r="B34" s="3" t="s">
        <v>48</v>
      </c>
      <c r="C34" s="4">
        <v>71.7</v>
      </c>
      <c r="D34" s="4">
        <v>87.17</v>
      </c>
      <c r="E34" s="6">
        <v>6.09</v>
      </c>
      <c r="F34" s="6">
        <v>3251.76</v>
      </c>
      <c r="G34" s="6">
        <v>8.6300000000000008</v>
      </c>
      <c r="H34" s="4">
        <v>69.040000000000006</v>
      </c>
      <c r="I34" s="4">
        <v>72.89</v>
      </c>
      <c r="J34" s="4">
        <v>344363</v>
      </c>
      <c r="K34" s="4">
        <v>3.93</v>
      </c>
      <c r="L34" s="7">
        <v>6.73</v>
      </c>
      <c r="M34" s="7">
        <v>67.349999999999994</v>
      </c>
      <c r="N34" s="1">
        <v>0.312</v>
      </c>
      <c r="O34" s="10">
        <v>200270</v>
      </c>
      <c r="Q34" s="7">
        <f>R33</f>
        <v>0.43221218454270366</v>
      </c>
      <c r="R34" s="7">
        <f>-(R19)/SQRT(R19*R19)</f>
        <v>-1</v>
      </c>
      <c r="S34" s="7">
        <f>-(S19)/SQRT(R19*S20)</f>
        <v>0.206172393539233</v>
      </c>
      <c r="T34" s="7">
        <f>-(T19)/SQRT(R19*T21)</f>
        <v>-3.6020033159115103E-2</v>
      </c>
      <c r="U34" s="7">
        <f>-(U19)/SQRT(R19*U22)</f>
        <v>-0.10630426156133592</v>
      </c>
      <c r="V34" s="7">
        <f>-(V19)/SQRT(R19*V23)</f>
        <v>1.4413522550703529E-2</v>
      </c>
      <c r="W34" s="7">
        <f>-(W19)/SQRT(R19*W24)</f>
        <v>-3.2174532663689172E-2</v>
      </c>
      <c r="X34" s="7">
        <f>-(X19)/SQRT(R19*X25)</f>
        <v>-9.523916008742353E-2</v>
      </c>
      <c r="Y34" s="7">
        <f>-(Y19)/SQRT(R19*Y26)</f>
        <v>2.291770025828032E-2</v>
      </c>
      <c r="Z34" s="7">
        <f>-(Z19)/SQRT(R19*Z27)</f>
        <v>-4.8771673061690855E-2</v>
      </c>
      <c r="AA34" s="7">
        <f>-(AA19)/SQRT(R19*AA28)</f>
        <v>9.0370447264742595E-2</v>
      </c>
      <c r="AB34" s="7">
        <f>-(AB19)/SQRT(R19*AB29)</f>
        <v>1.5038836811659238E-2</v>
      </c>
    </row>
    <row r="35" spans="1:28" x14ac:dyDescent="0.25">
      <c r="A35" s="3" t="s">
        <v>49</v>
      </c>
      <c r="B35" s="3" t="s">
        <v>50</v>
      </c>
      <c r="C35" s="4">
        <v>65</v>
      </c>
      <c r="D35" s="4">
        <v>86.71</v>
      </c>
      <c r="E35" s="6">
        <v>9.92</v>
      </c>
      <c r="F35" s="6">
        <v>19511.68</v>
      </c>
      <c r="G35" s="6">
        <v>7.1</v>
      </c>
      <c r="H35" s="4">
        <v>62.69</v>
      </c>
      <c r="I35" s="4">
        <v>66.540000000000006</v>
      </c>
      <c r="J35" s="4">
        <v>361713</v>
      </c>
      <c r="K35" s="4">
        <v>3.6</v>
      </c>
      <c r="L35" s="7">
        <v>9.15</v>
      </c>
      <c r="M35" s="7">
        <v>60.28</v>
      </c>
      <c r="N35" s="1">
        <v>0.30499999999999999</v>
      </c>
      <c r="O35" s="10">
        <v>1270.0899999999999</v>
      </c>
      <c r="Q35" s="7">
        <f>S33</f>
        <v>-0.23310089269416065</v>
      </c>
      <c r="R35" s="7">
        <f>S34</f>
        <v>0.206172393539233</v>
      </c>
      <c r="S35" s="7">
        <f>-(S20)/SQRT(S20*S20)</f>
        <v>-1</v>
      </c>
      <c r="T35" s="7">
        <f>-(T20)/SQRT(S20*T21)</f>
        <v>-0.17614497955193892</v>
      </c>
      <c r="U35" s="7">
        <f>-(U20)/SQRT(S20*U22)</f>
        <v>-0.1913372914271472</v>
      </c>
      <c r="V35" s="7">
        <f>-(V20)/SQRT(S20*V23)</f>
        <v>-5.4244632464213696E-2</v>
      </c>
      <c r="W35" s="7">
        <f>-(W20)/SQRT(S20*W24)</f>
        <v>6.4884420474773594E-2</v>
      </c>
      <c r="X35" s="7">
        <f>-(X20)/SQRT(S20*X25)</f>
        <v>0.44667844308544613</v>
      </c>
      <c r="Y35" s="7">
        <f>-(Y20)/SQRT(S20*Y26)</f>
        <v>0.22886284321281947</v>
      </c>
      <c r="Z35" s="7">
        <f>-(Z20)/SQRT(S20*Z27)</f>
        <v>-0.12791487362989529</v>
      </c>
      <c r="AA35" s="7">
        <f>-(AA20)/SQRT(S20*AA28)</f>
        <v>-0.11270932577716422</v>
      </c>
      <c r="AB35" s="7">
        <f>-(AB20)/SQRT(S20*AB29)</f>
        <v>0.17797419249225718</v>
      </c>
    </row>
    <row r="36" spans="1:28" x14ac:dyDescent="0.25">
      <c r="A36" s="3" t="s">
        <v>49</v>
      </c>
      <c r="B36" s="3" t="s">
        <v>51</v>
      </c>
      <c r="C36" s="4">
        <v>63.91</v>
      </c>
      <c r="D36" s="4">
        <v>79.81</v>
      </c>
      <c r="E36" s="6">
        <v>9.24</v>
      </c>
      <c r="F36" s="6">
        <v>20622.04</v>
      </c>
      <c r="G36" s="6">
        <v>6.4</v>
      </c>
      <c r="H36" s="4">
        <v>65.19</v>
      </c>
      <c r="I36" s="4">
        <v>69.13</v>
      </c>
      <c r="J36" s="4">
        <v>334509</v>
      </c>
      <c r="K36" s="4">
        <v>3.14</v>
      </c>
      <c r="L36" s="7">
        <v>9.6300000000000008</v>
      </c>
      <c r="M36" s="7">
        <v>69.97</v>
      </c>
      <c r="N36" s="1">
        <v>0.314</v>
      </c>
      <c r="O36" s="10">
        <v>1383.54</v>
      </c>
      <c r="Q36" s="7">
        <f>T33</f>
        <v>0.34223007618940204</v>
      </c>
      <c r="R36" s="7">
        <f>T34</f>
        <v>-3.6020033159115103E-2</v>
      </c>
      <c r="S36" s="7">
        <f>T35</f>
        <v>-0.17614497955193892</v>
      </c>
      <c r="T36" s="7">
        <f>-(T21)/SQRT(T21*T21)</f>
        <v>-1</v>
      </c>
      <c r="U36" s="7">
        <f>-(U21)/SQRT(T21*U22)</f>
        <v>-0.40791848907327266</v>
      </c>
      <c r="V36" s="7">
        <f>-(V21)/SQRT(T21*V23)</f>
        <v>4.0865237437699632E-2</v>
      </c>
      <c r="W36" s="7">
        <f>-(W21)/SQRT(T21*W24)</f>
        <v>-4.8812849172953122E-2</v>
      </c>
      <c r="X36" s="7">
        <f>-(X21)/SQRT(T21*X25)</f>
        <v>0.19974142688138216</v>
      </c>
      <c r="Y36" s="7">
        <f>-(Y21)/SQRT(T21*Y26)</f>
        <v>1.2680926518661078E-2</v>
      </c>
      <c r="Z36" s="7">
        <f>-(Z21)/SQRT(T21*Z27)</f>
        <v>0.14917152600800193</v>
      </c>
      <c r="AA36" s="7">
        <f>-(AA21)/SQRT(T21*AA28)</f>
        <v>0.14484560205270669</v>
      </c>
      <c r="AB36" s="7">
        <f>-(AB21)/SQRT(T21*AB29)</f>
        <v>0.25257131895426799</v>
      </c>
    </row>
    <row r="37" spans="1:28" x14ac:dyDescent="0.25">
      <c r="A37" s="3" t="s">
        <v>49</v>
      </c>
      <c r="B37" s="3" t="s">
        <v>52</v>
      </c>
      <c r="C37" s="4">
        <v>71.92</v>
      </c>
      <c r="D37" s="4">
        <v>90.98</v>
      </c>
      <c r="E37" s="6">
        <v>6.23</v>
      </c>
      <c r="F37" s="6">
        <v>93480.39</v>
      </c>
      <c r="G37" s="6">
        <v>8.39</v>
      </c>
      <c r="H37" s="4">
        <v>67.86</v>
      </c>
      <c r="I37" s="4">
        <v>71.81</v>
      </c>
      <c r="J37" s="4">
        <v>520742</v>
      </c>
      <c r="K37" s="4">
        <v>1.84</v>
      </c>
      <c r="L37" s="7">
        <v>13.06</v>
      </c>
      <c r="M37" s="7">
        <v>65.430000000000007</v>
      </c>
      <c r="N37" s="1">
        <v>0.28499999999999998</v>
      </c>
      <c r="O37" s="10">
        <v>3236.7</v>
      </c>
      <c r="Q37" s="7">
        <f>U33</f>
        <v>0.68615177631653079</v>
      </c>
      <c r="R37" s="7">
        <f>U34</f>
        <v>-0.10630426156133592</v>
      </c>
      <c r="S37" s="7">
        <f>U35</f>
        <v>-0.1913372914271472</v>
      </c>
      <c r="T37" s="7">
        <f>U36</f>
        <v>-0.40791848907327266</v>
      </c>
      <c r="U37" s="7">
        <f>-(U22)/SQRT(U22*U22)</f>
        <v>-1</v>
      </c>
      <c r="V37" s="7">
        <f>-(V22)/SQRT(U22*V23)</f>
        <v>0.11381595151257314</v>
      </c>
      <c r="W37" s="7">
        <f>-(W22)/SQRT(U22*W24)</f>
        <v>-0.12939106059871533</v>
      </c>
      <c r="X37" s="7">
        <f>-(X22)/SQRT(U22*X25)</f>
        <v>0.15586072592918723</v>
      </c>
      <c r="Y37" s="7">
        <f>-(Y22)/SQRT(U22*Y26)</f>
        <v>-7.4678016459321303E-2</v>
      </c>
      <c r="Z37" s="7">
        <f>-(Z22)/SQRT(U22*Z27)</f>
        <v>-0.16878376825728569</v>
      </c>
      <c r="AA37" s="7">
        <f>-(AA22)/SQRT(U22*AA28)</f>
        <v>-0.18467461529101994</v>
      </c>
      <c r="AB37" s="7">
        <f>-(AB22)/SQRT(U22*AB29)</f>
        <v>0.39015309565556733</v>
      </c>
    </row>
    <row r="38" spans="1:28" x14ac:dyDescent="0.25">
      <c r="A38" s="3" t="s">
        <v>49</v>
      </c>
      <c r="B38" s="3" t="s">
        <v>53</v>
      </c>
      <c r="C38" s="4">
        <v>66.7</v>
      </c>
      <c r="D38" s="4">
        <v>92.14</v>
      </c>
      <c r="E38" s="6">
        <v>4.9400000000000004</v>
      </c>
      <c r="F38" s="6">
        <v>52866.43</v>
      </c>
      <c r="G38" s="6">
        <v>7.5</v>
      </c>
      <c r="H38" s="4">
        <v>62.68</v>
      </c>
      <c r="I38" s="4">
        <v>66.5</v>
      </c>
      <c r="J38" s="4">
        <v>341074</v>
      </c>
      <c r="K38" s="4">
        <v>2.44</v>
      </c>
      <c r="L38" s="7">
        <v>12.22</v>
      </c>
      <c r="M38" s="7">
        <v>63.46</v>
      </c>
      <c r="N38" s="1">
        <v>0.30299999999999999</v>
      </c>
      <c r="O38" s="10">
        <v>1618.36</v>
      </c>
      <c r="Q38" s="7">
        <f>V33</f>
        <v>0.10385024094120965</v>
      </c>
      <c r="R38" s="7">
        <f>V34</f>
        <v>1.4413522550703529E-2</v>
      </c>
      <c r="S38" s="7">
        <f>V35</f>
        <v>-5.4244632464213696E-2</v>
      </c>
      <c r="T38" s="7">
        <f>V36</f>
        <v>4.0865237437699632E-2</v>
      </c>
      <c r="U38" s="7">
        <f>V37</f>
        <v>0.11381595151257314</v>
      </c>
      <c r="V38" s="7">
        <f>-(V23)/SQRT(V23*V23)</f>
        <v>-1</v>
      </c>
      <c r="W38" s="7">
        <f>-(W23)/SQRT(V23*W24)</f>
        <v>0.99842082221569306</v>
      </c>
      <c r="X38" s="7">
        <f>-(X23)/SQRT(V23*X25)</f>
        <v>-0.34558407669097513</v>
      </c>
      <c r="Y38" s="7">
        <f>-(Y23)/SQRT(V23*Y26)</f>
        <v>0.17042319067839362</v>
      </c>
      <c r="Z38" s="7">
        <f>-(Z23)/SQRT(V23*Z27)</f>
        <v>0.2700841083444766</v>
      </c>
      <c r="AA38" s="7">
        <f>-(AA23)/SQRT(V23*AA28)</f>
        <v>2.3278547822738367E-2</v>
      </c>
      <c r="AB38" s="7">
        <f>-(AB23)/SQRT(V23*AB29)</f>
        <v>-0.19752758172916557</v>
      </c>
    </row>
    <row r="39" spans="1:28" x14ac:dyDescent="0.25">
      <c r="A39" s="3" t="s">
        <v>49</v>
      </c>
      <c r="B39" s="3" t="s">
        <v>54</v>
      </c>
      <c r="C39" s="4">
        <v>78.25</v>
      </c>
      <c r="D39" s="4">
        <v>95.06</v>
      </c>
      <c r="E39" s="6">
        <v>5.22</v>
      </c>
      <c r="F39" s="6">
        <v>102415.7</v>
      </c>
      <c r="G39" s="6">
        <v>10.69</v>
      </c>
      <c r="H39" s="4">
        <v>69.61</v>
      </c>
      <c r="I39" s="4">
        <v>73.489999999999995</v>
      </c>
      <c r="J39" s="4">
        <v>632835</v>
      </c>
      <c r="K39" s="4">
        <v>1.42</v>
      </c>
      <c r="L39" s="7">
        <v>8.6300000000000008</v>
      </c>
      <c r="M39" s="7">
        <v>64.97</v>
      </c>
      <c r="N39" s="1">
        <v>0.33900000000000002</v>
      </c>
      <c r="O39" s="10">
        <v>1891.4</v>
      </c>
      <c r="Q39" s="7">
        <f>W33</f>
        <v>-6.7588183788723361E-2</v>
      </c>
      <c r="R39" s="7">
        <f>W34</f>
        <v>-3.2174532663689172E-2</v>
      </c>
      <c r="S39" s="7">
        <f>W35</f>
        <v>6.4884420474773594E-2</v>
      </c>
      <c r="T39" s="7">
        <f>W36</f>
        <v>-4.8812849172953122E-2</v>
      </c>
      <c r="U39" s="7">
        <f>W37</f>
        <v>-0.12939106059871533</v>
      </c>
      <c r="V39" s="7">
        <f>W38</f>
        <v>0.99842082221569306</v>
      </c>
      <c r="W39" s="7">
        <f>-(W24)/SQRT(W24*W24)</f>
        <v>-1</v>
      </c>
      <c r="X39" s="7">
        <f>-(X24)/SQRT(W24*X25)</f>
        <v>0.34245826664549245</v>
      </c>
      <c r="Y39" s="7">
        <f>-(Y24)/SQRT(W24*Y26)</f>
        <v>-0.14584344782755954</v>
      </c>
      <c r="Z39" s="7">
        <f>-(Z24)/SQRT(W24*Z27)</f>
        <v>-0.26217453682777503</v>
      </c>
      <c r="AA39" s="7">
        <f>-(AA24)/SQRT(W24*AA28)</f>
        <v>-1.3761026595643851E-2</v>
      </c>
      <c r="AB39" s="7">
        <f>-(AB24)/SQRT(W24*AB29)</f>
        <v>0.20185672334533972</v>
      </c>
    </row>
    <row r="40" spans="1:28" x14ac:dyDescent="0.25">
      <c r="A40" s="3" t="s">
        <v>49</v>
      </c>
      <c r="B40" s="3" t="s">
        <v>55</v>
      </c>
      <c r="C40" s="4">
        <v>73.05</v>
      </c>
      <c r="D40" s="4">
        <v>87.22</v>
      </c>
      <c r="E40" s="6">
        <v>3.69</v>
      </c>
      <c r="F40" s="6">
        <v>73319.12</v>
      </c>
      <c r="G40" s="6">
        <v>9.8699999999999992</v>
      </c>
      <c r="H40" s="4">
        <v>64.66</v>
      </c>
      <c r="I40" s="4">
        <v>68.58</v>
      </c>
      <c r="J40" s="4">
        <v>504571</v>
      </c>
      <c r="K40" s="4">
        <v>2.02</v>
      </c>
      <c r="L40" s="7">
        <v>12.69</v>
      </c>
      <c r="M40" s="7">
        <v>61.83</v>
      </c>
      <c r="N40" s="1">
        <v>0.373</v>
      </c>
      <c r="O40" s="10">
        <v>433.76</v>
      </c>
      <c r="Q40" s="7">
        <f>X33</f>
        <v>0.31308119600539536</v>
      </c>
      <c r="R40" s="7">
        <f>X34</f>
        <v>-9.523916008742353E-2</v>
      </c>
      <c r="S40" s="7">
        <f>X35</f>
        <v>0.44667844308544613</v>
      </c>
      <c r="T40" s="7">
        <f>X36</f>
        <v>0.19974142688138216</v>
      </c>
      <c r="U40" s="7">
        <f>X37</f>
        <v>0.15586072592918723</v>
      </c>
      <c r="V40" s="7">
        <f>X38</f>
        <v>-0.34558407669097513</v>
      </c>
      <c r="W40" s="7">
        <f>X39</f>
        <v>0.34245826664549245</v>
      </c>
      <c r="X40" s="7">
        <f>-(X25)/SQRT(X25*X25)</f>
        <v>-1</v>
      </c>
      <c r="Y40" s="7">
        <f>-(Y25)/SQRT(X25*Y26)</f>
        <v>-0.21038222128747799</v>
      </c>
      <c r="Z40" s="7">
        <f>-(Z25)/SQRT(X25*Z27)</f>
        <v>6.346642222053632E-2</v>
      </c>
      <c r="AA40" s="7">
        <f>-(AA25)/SQRT(X25*AA28)</f>
        <v>-5.645203824681868E-2</v>
      </c>
      <c r="AB40" s="7">
        <f>-(AB25)/SQRT(X25*AB29)</f>
        <v>-0.32141129164173571</v>
      </c>
    </row>
    <row r="41" spans="1:28" x14ac:dyDescent="0.25">
      <c r="A41" s="3" t="s">
        <v>49</v>
      </c>
      <c r="B41" s="3" t="s">
        <v>56</v>
      </c>
      <c r="C41" s="4">
        <v>72.16</v>
      </c>
      <c r="D41" s="4">
        <v>92.28</v>
      </c>
      <c r="E41" s="6">
        <v>6.06</v>
      </c>
      <c r="F41" s="6">
        <v>22518.66</v>
      </c>
      <c r="G41" s="6">
        <v>8.76</v>
      </c>
      <c r="H41" s="4">
        <v>65.87</v>
      </c>
      <c r="I41" s="4">
        <v>69.94</v>
      </c>
      <c r="J41" s="4">
        <v>411595</v>
      </c>
      <c r="K41" s="4">
        <v>1.29</v>
      </c>
      <c r="L41" s="7">
        <v>9.26</v>
      </c>
      <c r="M41" s="7">
        <v>63.79</v>
      </c>
      <c r="N41" s="1">
        <v>0.35199999999999998</v>
      </c>
      <c r="O41" s="10">
        <v>689.41</v>
      </c>
      <c r="Q41" s="7">
        <f>Y33</f>
        <v>-0.22772035811396973</v>
      </c>
      <c r="R41" s="7">
        <f>Y34</f>
        <v>2.291770025828032E-2</v>
      </c>
      <c r="S41" s="7">
        <f>Y35</f>
        <v>0.22886284321281947</v>
      </c>
      <c r="T41" s="7">
        <f>Y36</f>
        <v>1.2680926518661078E-2</v>
      </c>
      <c r="U41" s="7">
        <f>Y37</f>
        <v>-7.4678016459321303E-2</v>
      </c>
      <c r="V41" s="7">
        <f>Y38</f>
        <v>0.17042319067839362</v>
      </c>
      <c r="W41" s="7">
        <f>Y39</f>
        <v>-0.14584344782755954</v>
      </c>
      <c r="X41" s="7">
        <f>Y40</f>
        <v>-0.21038222128747799</v>
      </c>
      <c r="Y41" s="7">
        <f>-(Y26)/SQRT(Y26*Y26)</f>
        <v>-1</v>
      </c>
      <c r="Z41" s="7">
        <f>-(Z26)/SQRT(Y26*Z27)</f>
        <v>-0.34277742038344139</v>
      </c>
      <c r="AA41" s="7">
        <f>-(AA26)/SQRT(Y26*AA28)</f>
        <v>-7.4875619942083721E-2</v>
      </c>
      <c r="AB41" s="7">
        <f>-(AB26)/SQRT(Y26*AB29)</f>
        <v>0.39211514937081998</v>
      </c>
    </row>
    <row r="42" spans="1:28" x14ac:dyDescent="0.25">
      <c r="A42" s="3" t="s">
        <v>49</v>
      </c>
      <c r="B42" s="3" t="s">
        <v>57</v>
      </c>
      <c r="C42" s="4">
        <v>81.36</v>
      </c>
      <c r="D42" s="4">
        <v>93.58</v>
      </c>
      <c r="E42" s="6">
        <v>2.29</v>
      </c>
      <c r="F42" s="6">
        <v>59531.08</v>
      </c>
      <c r="G42" s="6">
        <v>11.81</v>
      </c>
      <c r="H42" s="4">
        <v>70.510000000000005</v>
      </c>
      <c r="I42" s="4">
        <v>74.31</v>
      </c>
      <c r="J42" s="4">
        <v>643083</v>
      </c>
      <c r="K42" s="4">
        <v>1.51</v>
      </c>
      <c r="L42" s="7">
        <v>8.48</v>
      </c>
      <c r="M42" s="7">
        <v>62.49</v>
      </c>
      <c r="N42" s="1">
        <v>0.36799999999999999</v>
      </c>
      <c r="O42" s="10">
        <v>1351.31</v>
      </c>
      <c r="Q42" s="7">
        <f>Z33</f>
        <v>-8.4391469332270846E-2</v>
      </c>
      <c r="R42" s="7">
        <f>Z34</f>
        <v>-4.8771673061690855E-2</v>
      </c>
      <c r="S42" s="7">
        <f>Z35</f>
        <v>-0.12791487362989529</v>
      </c>
      <c r="T42" s="7">
        <f>Z36</f>
        <v>0.14917152600800193</v>
      </c>
      <c r="U42" s="7">
        <f>Z37</f>
        <v>-0.16878376825728569</v>
      </c>
      <c r="V42" s="7">
        <f>Z38</f>
        <v>0.2700841083444766</v>
      </c>
      <c r="W42" s="7">
        <f>Z39</f>
        <v>-0.26217453682777503</v>
      </c>
      <c r="X42" s="7">
        <f>Z40</f>
        <v>6.346642222053632E-2</v>
      </c>
      <c r="Y42" s="7">
        <f>Z41</f>
        <v>-0.34277742038344139</v>
      </c>
      <c r="Z42" s="7">
        <f>-(Z27)/SQRT(Z27*Z27)</f>
        <v>-1</v>
      </c>
      <c r="AA42" s="7">
        <f>-(AA27)/SQRT(Z27*AA28)</f>
        <v>-0.49417254854173898</v>
      </c>
      <c r="AB42" s="7">
        <f>-(AB27)/SQRT(Z27*AB29)</f>
        <v>0.34605265115182521</v>
      </c>
    </row>
    <row r="43" spans="1:28" ht="15.75" customHeight="1" x14ac:dyDescent="0.2">
      <c r="B43" s="2">
        <v>41</v>
      </c>
      <c r="C43" s="7">
        <f>SUM(C2:C42)</f>
        <v>2988.7799999999993</v>
      </c>
      <c r="D43" s="7">
        <f t="shared" ref="D43:O43" si="0">SUM(D2:D42)</f>
        <v>3689.47</v>
      </c>
      <c r="E43" s="7">
        <f t="shared" si="0"/>
        <v>313.06000000000006</v>
      </c>
      <c r="F43" s="7">
        <f t="shared" si="0"/>
        <v>3717394.3100000024</v>
      </c>
      <c r="G43" s="7">
        <f t="shared" si="0"/>
        <v>365.9</v>
      </c>
      <c r="H43" s="7">
        <f t="shared" si="0"/>
        <v>2855.11</v>
      </c>
      <c r="I43" s="7">
        <f t="shared" si="0"/>
        <v>3010.54</v>
      </c>
      <c r="J43" s="7">
        <f t="shared" si="0"/>
        <v>19295350</v>
      </c>
      <c r="K43" s="7">
        <f t="shared" si="0"/>
        <v>136.38</v>
      </c>
      <c r="L43" s="7">
        <f t="shared" si="0"/>
        <v>415.05000000000007</v>
      </c>
      <c r="M43" s="7">
        <f t="shared" si="0"/>
        <v>2648.1499999999996</v>
      </c>
      <c r="N43" s="7">
        <f t="shared" si="0"/>
        <v>14.726000000000001</v>
      </c>
      <c r="O43" s="7">
        <f t="shared" si="0"/>
        <v>58726232.57</v>
      </c>
      <c r="Q43" s="7">
        <f>AA33</f>
        <v>1.9939188774099063E-2</v>
      </c>
      <c r="R43" s="7">
        <f>AA34</f>
        <v>9.0370447264742595E-2</v>
      </c>
      <c r="S43" s="7">
        <f>AA35</f>
        <v>-0.11270932577716422</v>
      </c>
      <c r="T43" s="7">
        <f>AA36</f>
        <v>0.14484560205270669</v>
      </c>
      <c r="U43" s="7">
        <f>AA37</f>
        <v>-0.18467461529101994</v>
      </c>
      <c r="V43" s="7">
        <f>AA38</f>
        <v>2.3278547822738367E-2</v>
      </c>
      <c r="W43" s="7">
        <f>AA39</f>
        <v>-1.3761026595643851E-2</v>
      </c>
      <c r="X43" s="7">
        <f>AA40</f>
        <v>-5.645203824681868E-2</v>
      </c>
      <c r="Y43" s="7">
        <f>AA41</f>
        <v>-7.4875619942083721E-2</v>
      </c>
      <c r="Z43" s="7">
        <f>AA42</f>
        <v>-0.49417254854173898</v>
      </c>
      <c r="AA43" s="7">
        <f>-(AA28)/SQRT(AA28*AA28)</f>
        <v>-1</v>
      </c>
      <c r="AB43" s="7">
        <f>-(AB28)/SQRT(AA28*AB29)</f>
        <v>-6.4235752716955197E-2</v>
      </c>
    </row>
    <row r="44" spans="1:28" ht="15.75" customHeight="1" x14ac:dyDescent="0.2">
      <c r="C44" s="7">
        <f>C43/$B43</f>
        <v>72.897073170731687</v>
      </c>
      <c r="D44" s="7">
        <f t="shared" ref="D44:O44" si="1">D43/$B43</f>
        <v>89.987073170731705</v>
      </c>
      <c r="E44" s="7">
        <f t="shared" si="1"/>
        <v>7.635609756097562</v>
      </c>
      <c r="F44" s="7">
        <f t="shared" si="1"/>
        <v>90668.15390243908</v>
      </c>
      <c r="G44" s="7">
        <f t="shared" si="1"/>
        <v>8.9243902439024385</v>
      </c>
      <c r="H44" s="7">
        <f t="shared" si="1"/>
        <v>69.636829268292686</v>
      </c>
      <c r="I44" s="7">
        <f t="shared" si="1"/>
        <v>73.427804878048775</v>
      </c>
      <c r="J44" s="7">
        <f t="shared" si="1"/>
        <v>470618.29268292681</v>
      </c>
      <c r="K44" s="7">
        <f t="shared" si="1"/>
        <v>3.326341463414634</v>
      </c>
      <c r="L44" s="7">
        <f t="shared" si="1"/>
        <v>10.123170731707319</v>
      </c>
      <c r="M44" s="7">
        <f t="shared" si="1"/>
        <v>64.589024390243893</v>
      </c>
      <c r="N44" s="7">
        <f t="shared" si="1"/>
        <v>0.35917073170731711</v>
      </c>
      <c r="O44" s="7">
        <f t="shared" si="1"/>
        <v>1432347.1358536584</v>
      </c>
      <c r="Q44" s="7">
        <f>AB33</f>
        <v>3.8308127903797839E-2</v>
      </c>
      <c r="R44" s="7">
        <f>AB34</f>
        <v>1.5038836811659238E-2</v>
      </c>
      <c r="S44" s="7">
        <f>AB35</f>
        <v>0.17797419249225718</v>
      </c>
      <c r="T44" s="7">
        <f>AB36</f>
        <v>0.25257131895426799</v>
      </c>
      <c r="U44" s="7">
        <f>AB37</f>
        <v>0.39015309565556733</v>
      </c>
      <c r="V44" s="7">
        <f>AB38</f>
        <v>-0.19752758172916557</v>
      </c>
      <c r="W44" s="7">
        <f>AB39</f>
        <v>0.20185672334533972</v>
      </c>
      <c r="X44" s="7">
        <f>AB40</f>
        <v>-0.32141129164173571</v>
      </c>
      <c r="Y44" s="7">
        <f>AB41</f>
        <v>0.39211514937081998</v>
      </c>
      <c r="Z44" s="7">
        <f>AB42</f>
        <v>0.34605265115182521</v>
      </c>
      <c r="AA44" s="7">
        <f>AB43</f>
        <v>-6.4235752716955197E-2</v>
      </c>
      <c r="AB44" s="7">
        <f>-(AB29)/SQRT(AB29*AB29)</f>
        <v>-1</v>
      </c>
    </row>
    <row r="45" spans="1:28" ht="15.75" customHeight="1" x14ac:dyDescent="0.2">
      <c r="C45" s="7">
        <f>_xlfn.STDEV.P(C2:C42)</f>
        <v>5.7191062937773847</v>
      </c>
      <c r="D45" s="7">
        <f t="shared" ref="D45:O45" si="2">_xlfn.STDEV.P(D2:D42)</f>
        <v>4.3625911096237289</v>
      </c>
      <c r="E45" s="7">
        <f t="shared" si="2"/>
        <v>3.1054712134337596</v>
      </c>
      <c r="F45" s="7">
        <f t="shared" si="2"/>
        <v>114358.95399024164</v>
      </c>
      <c r="G45" s="7">
        <f t="shared" si="2"/>
        <v>1.6318088852416555</v>
      </c>
      <c r="H45" s="7">
        <f t="shared" si="2"/>
        <v>2.5444511018832872</v>
      </c>
      <c r="I45" s="7">
        <f t="shared" si="2"/>
        <v>2.4619430282040535</v>
      </c>
      <c r="J45" s="7">
        <f t="shared" si="2"/>
        <v>122257.44563554798</v>
      </c>
      <c r="K45" s="7">
        <f t="shared" si="2"/>
        <v>1.305578567378409</v>
      </c>
      <c r="L45" s="7">
        <f t="shared" si="2"/>
        <v>2.1595860477600572</v>
      </c>
      <c r="M45" s="7">
        <f t="shared" si="2"/>
        <v>3.7793113354335901</v>
      </c>
      <c r="N45" s="7">
        <f t="shared" si="2"/>
        <v>3.5741553625467451E-2</v>
      </c>
      <c r="O45" s="7">
        <f t="shared" si="2"/>
        <v>1227766.2464941407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 x14ac:dyDescent="0.2">
      <c r="A46" s="2" t="s">
        <v>70</v>
      </c>
      <c r="Q46" s="7" t="s">
        <v>85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 x14ac:dyDescent="0.2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  <c r="N47" s="1" t="s">
        <v>13</v>
      </c>
      <c r="O47" s="7" t="s">
        <v>67</v>
      </c>
      <c r="Q47" s="7">
        <f>Q33^2</f>
        <v>1</v>
      </c>
      <c r="R47" s="7">
        <f t="shared" ref="R47:AB47" si="3">R33^2</f>
        <v>0.18680737246717613</v>
      </c>
      <c r="S47" s="7">
        <f t="shared" si="3"/>
        <v>5.4336026174814596E-2</v>
      </c>
      <c r="T47" s="7">
        <f t="shared" si="3"/>
        <v>0.11712142504860393</v>
      </c>
      <c r="U47" s="7">
        <f t="shared" si="3"/>
        <v>0.47080426014233051</v>
      </c>
      <c r="V47" s="7">
        <f t="shared" si="3"/>
        <v>1.0784872543547297E-2</v>
      </c>
      <c r="W47" s="7">
        <f t="shared" si="3"/>
        <v>4.5681625878582471E-3</v>
      </c>
      <c r="X47" s="7">
        <f t="shared" si="3"/>
        <v>9.8019835292168789E-2</v>
      </c>
      <c r="Y47" s="7">
        <f t="shared" si="3"/>
        <v>5.1856561499554622E-2</v>
      </c>
      <c r="Z47" s="7">
        <f t="shared" si="3"/>
        <v>7.1219200960596111E-3</v>
      </c>
      <c r="AA47" s="7">
        <f t="shared" si="3"/>
        <v>3.9757124896915811E-4</v>
      </c>
      <c r="AB47" s="7">
        <f t="shared" si="3"/>
        <v>1.4675126634937346E-3</v>
      </c>
    </row>
    <row r="48" spans="1:28" ht="15.75" customHeight="1" x14ac:dyDescent="0.25">
      <c r="A48" s="3" t="s">
        <v>14</v>
      </c>
      <c r="B48" s="3" t="s">
        <v>15</v>
      </c>
      <c r="C48" s="7">
        <f>(C2-C$44)/C$45</f>
        <v>-0.22155090422262616</v>
      </c>
      <c r="D48" s="7">
        <f t="shared" ref="D48:O48" si="4">(D2-D$44)/D$45</f>
        <v>0.78002424333592801</v>
      </c>
      <c r="E48" s="7">
        <f t="shared" si="4"/>
        <v>2.329562809214798</v>
      </c>
      <c r="F48" s="7">
        <f t="shared" si="4"/>
        <v>-0.76042933996982542</v>
      </c>
      <c r="G48" s="7">
        <f t="shared" si="4"/>
        <v>-0.14976646230618293</v>
      </c>
      <c r="H48" s="7">
        <f t="shared" si="4"/>
        <v>-1.1659997184055817</v>
      </c>
      <c r="I48" s="7">
        <f t="shared" si="4"/>
        <v>-1.0917412983392589</v>
      </c>
      <c r="J48" s="7">
        <f t="shared" si="4"/>
        <v>1.5641886375341498</v>
      </c>
      <c r="K48" s="7">
        <f t="shared" si="4"/>
        <v>-0.357191420774503</v>
      </c>
      <c r="L48" s="7">
        <f t="shared" si="4"/>
        <v>-1.2748603995487622</v>
      </c>
      <c r="M48" s="7">
        <f t="shared" si="4"/>
        <v>-1.0290299065286488</v>
      </c>
      <c r="N48" s="7">
        <f t="shared" si="4"/>
        <v>-1.4876446688492748</v>
      </c>
      <c r="O48" s="7">
        <f t="shared" si="4"/>
        <v>-1.1440273259380254</v>
      </c>
      <c r="Q48" s="7">
        <f t="shared" ref="Q48:AB58" si="5">Q34^2</f>
        <v>0.18680737246717613</v>
      </c>
      <c r="R48" s="7">
        <f t="shared" si="5"/>
        <v>1</v>
      </c>
      <c r="S48" s="7">
        <f t="shared" si="5"/>
        <v>4.2507055857696367E-2</v>
      </c>
      <c r="T48" s="7">
        <f t="shared" si="5"/>
        <v>1.2974427887837516E-3</v>
      </c>
      <c r="U48" s="7">
        <f t="shared" si="5"/>
        <v>1.1300596026100921E-2</v>
      </c>
      <c r="V48" s="7">
        <f t="shared" si="5"/>
        <v>2.0774963231963919E-4</v>
      </c>
      <c r="W48" s="7">
        <f t="shared" si="5"/>
        <v>1.0352005521268015E-3</v>
      </c>
      <c r="X48" s="7">
        <f t="shared" si="5"/>
        <v>9.0704976141578863E-3</v>
      </c>
      <c r="Y48" s="7">
        <f t="shared" si="5"/>
        <v>5.2522098512838183E-4</v>
      </c>
      <c r="Z48" s="7">
        <f t="shared" si="5"/>
        <v>2.3786760932364617E-3</v>
      </c>
      <c r="AA48" s="7">
        <f t="shared" si="5"/>
        <v>8.1668177388296223E-3</v>
      </c>
      <c r="AB48" s="7">
        <f t="shared" si="5"/>
        <v>2.2616661264771698E-4</v>
      </c>
    </row>
    <row r="49" spans="1:28" ht="15.75" customHeight="1" x14ac:dyDescent="0.25">
      <c r="A49" s="3" t="s">
        <v>14</v>
      </c>
      <c r="B49" s="3" t="s">
        <v>16</v>
      </c>
      <c r="C49" s="7">
        <f t="shared" ref="C49:O49" si="6">(C3-C$44)/C$45</f>
        <v>2.067268244713711</v>
      </c>
      <c r="D49" s="7">
        <f t="shared" si="6"/>
        <v>1.4103835712898114</v>
      </c>
      <c r="E49" s="7">
        <f t="shared" si="6"/>
        <v>-1.3542581679407568</v>
      </c>
      <c r="F49" s="7">
        <f t="shared" si="6"/>
        <v>2.8733127108315428</v>
      </c>
      <c r="G49" s="7">
        <f t="shared" si="6"/>
        <v>1.6580432798028839</v>
      </c>
      <c r="H49" s="7">
        <f t="shared" si="6"/>
        <v>1.0191474026708434</v>
      </c>
      <c r="I49" s="7">
        <f t="shared" si="6"/>
        <v>1.0610298825057638</v>
      </c>
      <c r="J49" s="7">
        <f t="shared" si="6"/>
        <v>2.5529136953138032</v>
      </c>
      <c r="K49" s="7">
        <f t="shared" si="6"/>
        <v>-1.3988751876357104</v>
      </c>
      <c r="L49" s="7">
        <f t="shared" si="6"/>
        <v>0.30877642916072823</v>
      </c>
      <c r="M49" s="7">
        <f t="shared" si="6"/>
        <v>-0.2061286623676678</v>
      </c>
      <c r="N49" s="7">
        <f t="shared" si="6"/>
        <v>1.8977705614999203</v>
      </c>
      <c r="O49" s="7">
        <f t="shared" si="6"/>
        <v>0.64708153234780508</v>
      </c>
      <c r="Q49" s="7">
        <f t="shared" si="5"/>
        <v>5.4336026174814596E-2</v>
      </c>
      <c r="R49" s="7">
        <f t="shared" si="5"/>
        <v>4.2507055857696367E-2</v>
      </c>
      <c r="S49" s="7">
        <f t="shared" si="5"/>
        <v>1</v>
      </c>
      <c r="T49" s="7">
        <f t="shared" si="5"/>
        <v>3.1027053821352981E-2</v>
      </c>
      <c r="U49" s="7">
        <f t="shared" si="5"/>
        <v>3.6609959090677054E-2</v>
      </c>
      <c r="V49" s="7">
        <f t="shared" si="5"/>
        <v>2.9424801511776263E-3</v>
      </c>
      <c r="W49" s="7">
        <f t="shared" si="5"/>
        <v>4.2099880203472191E-3</v>
      </c>
      <c r="X49" s="7">
        <f t="shared" si="5"/>
        <v>0.19952163151723815</v>
      </c>
      <c r="Y49" s="7">
        <f t="shared" si="5"/>
        <v>5.2378201003455582E-2</v>
      </c>
      <c r="Z49" s="7">
        <f t="shared" si="5"/>
        <v>1.636221489575208E-2</v>
      </c>
      <c r="AA49" s="7">
        <f t="shared" si="5"/>
        <v>1.2703392117142935E-2</v>
      </c>
      <c r="AB49" s="7">
        <f t="shared" si="5"/>
        <v>3.1674813193271013E-2</v>
      </c>
    </row>
    <row r="50" spans="1:28" ht="15.75" customHeight="1" x14ac:dyDescent="0.25">
      <c r="A50" s="3" t="s">
        <v>14</v>
      </c>
      <c r="B50" s="3" t="s">
        <v>17</v>
      </c>
      <c r="C50" s="7">
        <f t="shared" ref="C50:O50" si="7">(C4-C$44)/C$45</f>
        <v>1.7070721066840044</v>
      </c>
      <c r="D50" s="7">
        <f t="shared" si="7"/>
        <v>1.2590973325808801</v>
      </c>
      <c r="E50" s="7">
        <f t="shared" si="7"/>
        <v>-1.1191891720208655</v>
      </c>
      <c r="F50" s="7">
        <f t="shared" si="7"/>
        <v>1.8262409615549824</v>
      </c>
      <c r="G50" s="7">
        <f t="shared" si="7"/>
        <v>1.6764277856548402</v>
      </c>
      <c r="H50" s="7">
        <f t="shared" si="7"/>
        <v>1.1645618693611772</v>
      </c>
      <c r="I50" s="7">
        <f t="shared" si="7"/>
        <v>1.1341428660061577</v>
      </c>
      <c r="J50" s="7">
        <f t="shared" si="7"/>
        <v>0.91066606813434725</v>
      </c>
      <c r="K50" s="7">
        <f t="shared" si="7"/>
        <v>-0.8780333042051065</v>
      </c>
      <c r="L50" s="7">
        <f t="shared" si="7"/>
        <v>-0.38580112729080279</v>
      </c>
      <c r="M50" s="7">
        <f t="shared" si="7"/>
        <v>-0.69034386391577063</v>
      </c>
      <c r="N50" s="7">
        <f t="shared" si="7"/>
        <v>0.10713771238960218</v>
      </c>
      <c r="O50" s="7">
        <f t="shared" si="7"/>
        <v>1.3070825727037123</v>
      </c>
      <c r="Q50" s="7">
        <f t="shared" si="5"/>
        <v>0.11712142504860393</v>
      </c>
      <c r="R50" s="7">
        <f t="shared" si="5"/>
        <v>1.2974427887837516E-3</v>
      </c>
      <c r="S50" s="7">
        <f t="shared" si="5"/>
        <v>3.1027053821352981E-2</v>
      </c>
      <c r="T50" s="7">
        <f t="shared" si="5"/>
        <v>1</v>
      </c>
      <c r="U50" s="7">
        <f t="shared" si="5"/>
        <v>0.16639749372782167</v>
      </c>
      <c r="V50" s="7">
        <f t="shared" si="5"/>
        <v>1.6699676308395675E-3</v>
      </c>
      <c r="W50" s="7">
        <f t="shared" si="5"/>
        <v>2.3826942443814702E-3</v>
      </c>
      <c r="X50" s="7">
        <f t="shared" si="5"/>
        <v>3.9896637612610537E-2</v>
      </c>
      <c r="Y50" s="7">
        <f t="shared" si="5"/>
        <v>1.6080589737168177E-4</v>
      </c>
      <c r="Z50" s="7">
        <f t="shared" si="5"/>
        <v>2.2252144171555997E-2</v>
      </c>
      <c r="AA50" s="7">
        <f t="shared" si="5"/>
        <v>2.098024843401107E-2</v>
      </c>
      <c r="AB50" s="7">
        <f t="shared" si="5"/>
        <v>6.3792271158298566E-2</v>
      </c>
    </row>
    <row r="51" spans="1:28" ht="15.75" customHeight="1" x14ac:dyDescent="0.25">
      <c r="A51" s="3" t="s">
        <v>14</v>
      </c>
      <c r="B51" s="3" t="s">
        <v>18</v>
      </c>
      <c r="C51" s="7">
        <f t="shared" ref="C51:O51" si="8">(C5-C$44)/C$45</f>
        <v>1.4850094390637496</v>
      </c>
      <c r="D51" s="7">
        <f t="shared" si="8"/>
        <v>1.3782925509576136</v>
      </c>
      <c r="E51" s="7">
        <f t="shared" si="8"/>
        <v>-1.0064848589085891</v>
      </c>
      <c r="F51" s="7">
        <f t="shared" si="8"/>
        <v>3.137926446303295</v>
      </c>
      <c r="G51" s="7">
        <f t="shared" si="8"/>
        <v>1.5048390643699123</v>
      </c>
      <c r="H51" s="7">
        <f t="shared" si="8"/>
        <v>1.0152172819494809</v>
      </c>
      <c r="I51" s="7">
        <f t="shared" si="8"/>
        <v>1.0122878935054973</v>
      </c>
      <c r="J51" s="7">
        <f t="shared" si="8"/>
        <v>1.6498766702387524</v>
      </c>
      <c r="K51" s="7">
        <f t="shared" si="8"/>
        <v>-1.0388815329116168</v>
      </c>
      <c r="L51" s="7">
        <f t="shared" si="8"/>
        <v>0.39212573593491268</v>
      </c>
      <c r="M51" s="7">
        <f t="shared" si="8"/>
        <v>-0.22729654003097421</v>
      </c>
      <c r="N51" s="7">
        <f t="shared" si="8"/>
        <v>0.86256094560801833</v>
      </c>
      <c r="O51" s="7">
        <f t="shared" si="8"/>
        <v>-0.30580017729413139</v>
      </c>
      <c r="Q51" s="7">
        <f t="shared" si="5"/>
        <v>0.47080426014233051</v>
      </c>
      <c r="R51" s="7">
        <f t="shared" si="5"/>
        <v>1.1300596026100921E-2</v>
      </c>
      <c r="S51" s="7">
        <f t="shared" si="5"/>
        <v>3.6609959090677054E-2</v>
      </c>
      <c r="T51" s="7">
        <f t="shared" si="5"/>
        <v>0.16639749372782167</v>
      </c>
      <c r="U51" s="7">
        <f t="shared" si="5"/>
        <v>1</v>
      </c>
      <c r="V51" s="7">
        <f t="shared" si="5"/>
        <v>1.29540708187124E-2</v>
      </c>
      <c r="W51" s="7">
        <f t="shared" si="5"/>
        <v>1.6742046562860421E-2</v>
      </c>
      <c r="X51" s="7">
        <f t="shared" si="5"/>
        <v>2.4292565887173219E-2</v>
      </c>
      <c r="Y51" s="7">
        <f t="shared" si="5"/>
        <v>5.5768061422986634E-3</v>
      </c>
      <c r="Z51" s="7">
        <f t="shared" si="5"/>
        <v>2.848796042712912E-2</v>
      </c>
      <c r="AA51" s="7">
        <f t="shared" si="5"/>
        <v>3.4104713532886216E-2</v>
      </c>
      <c r="AB51" s="7">
        <f t="shared" si="5"/>
        <v>0.15221943804962226</v>
      </c>
    </row>
    <row r="52" spans="1:28" ht="15" x14ac:dyDescent="0.25">
      <c r="A52" s="3" t="s">
        <v>14</v>
      </c>
      <c r="B52" s="3" t="s">
        <v>19</v>
      </c>
      <c r="C52" s="7">
        <f t="shared" ref="C52:O52" si="9">(C6-C$44)/C$45</f>
        <v>1.4832609141218569</v>
      </c>
      <c r="D52" s="7">
        <f t="shared" si="9"/>
        <v>1.1857464289644266</v>
      </c>
      <c r="E52" s="7">
        <f t="shared" si="9"/>
        <v>-1.0902080629348516</v>
      </c>
      <c r="F52" s="7">
        <f t="shared" si="9"/>
        <v>1.9719003036421916</v>
      </c>
      <c r="G52" s="7">
        <f t="shared" si="9"/>
        <v>1.0452264180709971</v>
      </c>
      <c r="H52" s="7">
        <f t="shared" si="9"/>
        <v>0.81871124588145716</v>
      </c>
      <c r="I52" s="7">
        <f t="shared" si="9"/>
        <v>0.81325810508775243</v>
      </c>
      <c r="J52" s="7">
        <f t="shared" si="9"/>
        <v>0.71312390720948515</v>
      </c>
      <c r="K52" s="7">
        <f t="shared" si="9"/>
        <v>-1.1844108826936972</v>
      </c>
      <c r="L52" s="7">
        <f t="shared" si="9"/>
        <v>0.99409295152623911</v>
      </c>
      <c r="M52" s="7">
        <f t="shared" si="9"/>
        <v>-5.7953518724532367E-2</v>
      </c>
      <c r="N52" s="7">
        <f t="shared" si="9"/>
        <v>0.58277456293453078</v>
      </c>
      <c r="O52" s="7">
        <f t="shared" si="9"/>
        <v>0.81624972750961211</v>
      </c>
      <c r="Q52" s="7">
        <f t="shared" si="5"/>
        <v>1.0784872543547297E-2</v>
      </c>
      <c r="R52" s="7">
        <f t="shared" si="5"/>
        <v>2.0774963231963919E-4</v>
      </c>
      <c r="S52" s="7">
        <f t="shared" si="5"/>
        <v>2.9424801511776263E-3</v>
      </c>
      <c r="T52" s="7">
        <f t="shared" si="5"/>
        <v>1.6699676308395675E-3</v>
      </c>
      <c r="U52" s="7">
        <f t="shared" si="5"/>
        <v>1.29540708187124E-2</v>
      </c>
      <c r="V52" s="7">
        <f t="shared" si="5"/>
        <v>1</v>
      </c>
      <c r="W52" s="7">
        <f t="shared" si="5"/>
        <v>0.99684413823386053</v>
      </c>
      <c r="X52" s="7">
        <f t="shared" si="5"/>
        <v>0.11942835406235378</v>
      </c>
      <c r="Y52" s="7">
        <f t="shared" si="5"/>
        <v>2.9044063921004112E-2</v>
      </c>
      <c r="Z52" s="7">
        <f t="shared" si="5"/>
        <v>7.2945425580230983E-2</v>
      </c>
      <c r="AA52" s="7">
        <f t="shared" si="5"/>
        <v>5.4189078873551717E-4</v>
      </c>
      <c r="AB52" s="7">
        <f t="shared" si="5"/>
        <v>3.9017145543772183E-2</v>
      </c>
    </row>
    <row r="53" spans="1:28" ht="15" x14ac:dyDescent="0.25">
      <c r="A53" s="3" t="s">
        <v>14</v>
      </c>
      <c r="B53" s="3" t="s">
        <v>20</v>
      </c>
      <c r="C53" s="7">
        <f t="shared" ref="C53:O53" si="10">(C7-C$44)/C$45</f>
        <v>1.292671695455655</v>
      </c>
      <c r="D53" s="7">
        <f t="shared" si="10"/>
        <v>0.81211526366812581</v>
      </c>
      <c r="E53" s="7">
        <f t="shared" si="10"/>
        <v>-0.2755168852946806</v>
      </c>
      <c r="F53" s="7">
        <f t="shared" si="10"/>
        <v>1.9362928600803395</v>
      </c>
      <c r="G53" s="7">
        <f t="shared" si="10"/>
        <v>1.1494052845654179</v>
      </c>
      <c r="H53" s="7">
        <f t="shared" si="10"/>
        <v>0.67722689991248031</v>
      </c>
      <c r="I53" s="7">
        <f t="shared" si="10"/>
        <v>0.69140313258708641</v>
      </c>
      <c r="J53" s="7">
        <f t="shared" si="10"/>
        <v>1.0111589251225819</v>
      </c>
      <c r="K53" s="7">
        <f t="shared" si="10"/>
        <v>-0.8780333042051065</v>
      </c>
      <c r="L53" s="7">
        <f t="shared" si="10"/>
        <v>0.77182813346174894</v>
      </c>
      <c r="M53" s="7">
        <f t="shared" si="10"/>
        <v>0.36540403454156567</v>
      </c>
      <c r="N53" s="7">
        <f t="shared" si="10"/>
        <v>1.5060696257570378</v>
      </c>
      <c r="O53" s="7">
        <f t="shared" si="10"/>
        <v>0.2823288758231845</v>
      </c>
      <c r="Q53" s="7">
        <f t="shared" si="5"/>
        <v>4.5681625878582471E-3</v>
      </c>
      <c r="R53" s="7">
        <f t="shared" si="5"/>
        <v>1.0352005521268015E-3</v>
      </c>
      <c r="S53" s="7">
        <f t="shared" si="5"/>
        <v>4.2099880203472191E-3</v>
      </c>
      <c r="T53" s="7">
        <f t="shared" si="5"/>
        <v>2.3826942443814702E-3</v>
      </c>
      <c r="U53" s="7">
        <f t="shared" si="5"/>
        <v>1.6742046562860421E-2</v>
      </c>
      <c r="V53" s="7">
        <f t="shared" si="5"/>
        <v>0.99684413823386053</v>
      </c>
      <c r="W53" s="7">
        <f t="shared" si="5"/>
        <v>1</v>
      </c>
      <c r="X53" s="7">
        <f t="shared" si="5"/>
        <v>0.1172776643938352</v>
      </c>
      <c r="Y53" s="7">
        <f t="shared" si="5"/>
        <v>2.127031127423008E-2</v>
      </c>
      <c r="Z53" s="7">
        <f t="shared" si="5"/>
        <v>6.873548776085836E-2</v>
      </c>
      <c r="AA53" s="7">
        <f t="shared" si="5"/>
        <v>1.8936585296601738E-4</v>
      </c>
      <c r="AB53" s="7">
        <f t="shared" si="5"/>
        <v>4.0746136759717014E-2</v>
      </c>
    </row>
    <row r="54" spans="1:28" ht="15" x14ac:dyDescent="0.25">
      <c r="A54" s="3" t="s">
        <v>21</v>
      </c>
      <c r="B54" s="3" t="s">
        <v>22</v>
      </c>
      <c r="C54" s="7">
        <f t="shared" ref="C54:O54" si="11">(C8-C$44)/C$45</f>
        <v>-0.43661947207531299</v>
      </c>
      <c r="D54" s="7">
        <f t="shared" si="11"/>
        <v>-0.17353750367794565</v>
      </c>
      <c r="E54" s="7">
        <f t="shared" si="11"/>
        <v>1.7514328797238604E-2</v>
      </c>
      <c r="F54" s="7">
        <f t="shared" si="11"/>
        <v>0.55479211626030422</v>
      </c>
      <c r="G54" s="7">
        <f t="shared" si="11"/>
        <v>-0.38263686976429934</v>
      </c>
      <c r="H54" s="7">
        <f t="shared" si="11"/>
        <v>-0.15595869301594223</v>
      </c>
      <c r="I54" s="7">
        <f t="shared" si="11"/>
        <v>-0.14939617766747443</v>
      </c>
      <c r="J54" s="7">
        <f t="shared" si="11"/>
        <v>-0.55408725686012639</v>
      </c>
      <c r="K54" s="7">
        <f t="shared" si="11"/>
        <v>0.56194131469126818</v>
      </c>
      <c r="L54" s="7">
        <f t="shared" si="11"/>
        <v>1.9294573942143007</v>
      </c>
      <c r="M54" s="7">
        <f t="shared" si="11"/>
        <v>-0.51306288848559101</v>
      </c>
      <c r="N54" s="7">
        <f t="shared" si="11"/>
        <v>0.61075320120187959</v>
      </c>
      <c r="O54" s="7">
        <f t="shared" si="11"/>
        <v>3.2392345656208112</v>
      </c>
      <c r="Q54" s="7">
        <f t="shared" si="5"/>
        <v>9.8019835292168789E-2</v>
      </c>
      <c r="R54" s="7">
        <f t="shared" si="5"/>
        <v>9.0704976141578863E-3</v>
      </c>
      <c r="S54" s="7">
        <f t="shared" si="5"/>
        <v>0.19952163151723815</v>
      </c>
      <c r="T54" s="7">
        <f t="shared" si="5"/>
        <v>3.9896637612610537E-2</v>
      </c>
      <c r="U54" s="7">
        <f t="shared" si="5"/>
        <v>2.4292565887173219E-2</v>
      </c>
      <c r="V54" s="7">
        <f t="shared" si="5"/>
        <v>0.11942835406235378</v>
      </c>
      <c r="W54" s="7">
        <f t="shared" si="5"/>
        <v>0.1172776643938352</v>
      </c>
      <c r="X54" s="7">
        <f t="shared" si="5"/>
        <v>1</v>
      </c>
      <c r="Y54" s="7">
        <f t="shared" si="5"/>
        <v>4.4260679033853362E-2</v>
      </c>
      <c r="Z54" s="7">
        <f t="shared" si="5"/>
        <v>4.0279867494753862E-3</v>
      </c>
      <c r="AA54" s="7">
        <f t="shared" si="5"/>
        <v>3.1868326222202789E-3</v>
      </c>
      <c r="AB54" s="7">
        <f t="shared" si="5"/>
        <v>0.10330521839480888</v>
      </c>
    </row>
    <row r="55" spans="1:28" ht="15" x14ac:dyDescent="0.25">
      <c r="A55" s="3" t="s">
        <v>21</v>
      </c>
      <c r="B55" s="3" t="s">
        <v>23</v>
      </c>
      <c r="C55" s="7">
        <f t="shared" ref="C55:O55" si="12">(C9-C$44)/C$45</f>
        <v>-1.0521002516212203</v>
      </c>
      <c r="D55" s="7">
        <f t="shared" si="12"/>
        <v>-0.59988963094857206</v>
      </c>
      <c r="E55" s="7">
        <f t="shared" si="12"/>
        <v>-0.17569306510952146</v>
      </c>
      <c r="F55" s="7">
        <f t="shared" si="12"/>
        <v>-0.38880098454059958</v>
      </c>
      <c r="G55" s="7">
        <f t="shared" si="12"/>
        <v>-1.1364016096945204</v>
      </c>
      <c r="H55" s="7">
        <f t="shared" si="12"/>
        <v>-0.23849122816450974</v>
      </c>
      <c r="I55" s="7">
        <f t="shared" si="12"/>
        <v>-0.22657099358455907</v>
      </c>
      <c r="J55" s="7">
        <f t="shared" si="12"/>
        <v>-1.1642177860253056</v>
      </c>
      <c r="K55" s="7">
        <f t="shared" si="12"/>
        <v>1.1976747900550935</v>
      </c>
      <c r="L55" s="7">
        <f t="shared" si="12"/>
        <v>-0.24225509895748615</v>
      </c>
      <c r="M55" s="7">
        <f t="shared" si="12"/>
        <v>-0.80147522164812035</v>
      </c>
      <c r="N55" s="7">
        <f t="shared" si="12"/>
        <v>-0.70424279736350992</v>
      </c>
      <c r="O55" s="7">
        <f t="shared" si="12"/>
        <v>1.0477506347968173</v>
      </c>
      <c r="Q55" s="7">
        <f t="shared" si="5"/>
        <v>5.1856561499554622E-2</v>
      </c>
      <c r="R55" s="7">
        <f t="shared" si="5"/>
        <v>5.2522098512838183E-4</v>
      </c>
      <c r="S55" s="7">
        <f t="shared" si="5"/>
        <v>5.2378201003455582E-2</v>
      </c>
      <c r="T55" s="7">
        <f t="shared" si="5"/>
        <v>1.6080589737168177E-4</v>
      </c>
      <c r="U55" s="7">
        <f t="shared" si="5"/>
        <v>5.5768061422986634E-3</v>
      </c>
      <c r="V55" s="7">
        <f t="shared" si="5"/>
        <v>2.9044063921004112E-2</v>
      </c>
      <c r="W55" s="7">
        <f t="shared" si="5"/>
        <v>2.127031127423008E-2</v>
      </c>
      <c r="X55" s="7">
        <f t="shared" si="5"/>
        <v>4.4260679033853362E-2</v>
      </c>
      <c r="Y55" s="7">
        <f t="shared" si="5"/>
        <v>1</v>
      </c>
      <c r="Z55" s="7">
        <f t="shared" si="5"/>
        <v>0.1174963599247265</v>
      </c>
      <c r="AA55" s="7">
        <f t="shared" si="5"/>
        <v>5.606358461711365E-3</v>
      </c>
      <c r="AB55" s="7">
        <f t="shared" si="5"/>
        <v>0.15375429036610047</v>
      </c>
    </row>
    <row r="56" spans="1:28" ht="15" x14ac:dyDescent="0.25">
      <c r="A56" s="3" t="s">
        <v>21</v>
      </c>
      <c r="B56" s="3" t="s">
        <v>24</v>
      </c>
      <c r="C56" s="7">
        <f t="shared" ref="C56:O56" si="13">(C10-C$44)/C$45</f>
        <v>-1.3178760427887699</v>
      </c>
      <c r="D56" s="7">
        <f t="shared" si="13"/>
        <v>-1.3402753143271342</v>
      </c>
      <c r="E56" s="7">
        <f t="shared" si="13"/>
        <v>0.87728723168231981</v>
      </c>
      <c r="F56" s="7">
        <f t="shared" si="13"/>
        <v>-0.51483361685402451</v>
      </c>
      <c r="G56" s="7">
        <f t="shared" si="13"/>
        <v>-1.0689917549040133</v>
      </c>
      <c r="H56" s="7">
        <f t="shared" si="13"/>
        <v>-0.57648161020151034</v>
      </c>
      <c r="I56" s="7">
        <f t="shared" si="13"/>
        <v>-0.56776491658641237</v>
      </c>
      <c r="J56" s="7">
        <f t="shared" si="13"/>
        <v>-0.8091064897413881</v>
      </c>
      <c r="K56" s="7">
        <f t="shared" si="13"/>
        <v>1.090442637584087</v>
      </c>
      <c r="L56" s="7">
        <f t="shared" si="13"/>
        <v>0.42916987227899434</v>
      </c>
      <c r="M56" s="7">
        <f t="shared" si="13"/>
        <v>1.2359330034449847</v>
      </c>
      <c r="N56" s="7">
        <f t="shared" si="13"/>
        <v>-0.25658458508593152</v>
      </c>
      <c r="O56" s="7">
        <f t="shared" si="13"/>
        <v>0.84561117974283406</v>
      </c>
      <c r="Q56" s="7">
        <f t="shared" si="5"/>
        <v>7.1219200960596111E-3</v>
      </c>
      <c r="R56" s="7">
        <f t="shared" si="5"/>
        <v>2.3786760932364617E-3</v>
      </c>
      <c r="S56" s="7">
        <f t="shared" si="5"/>
        <v>1.636221489575208E-2</v>
      </c>
      <c r="T56" s="7">
        <f t="shared" si="5"/>
        <v>2.2252144171555997E-2</v>
      </c>
      <c r="U56" s="7">
        <f t="shared" si="5"/>
        <v>2.848796042712912E-2</v>
      </c>
      <c r="V56" s="7">
        <f t="shared" si="5"/>
        <v>7.2945425580230983E-2</v>
      </c>
      <c r="W56" s="7">
        <f t="shared" si="5"/>
        <v>6.873548776085836E-2</v>
      </c>
      <c r="X56" s="7">
        <f t="shared" si="5"/>
        <v>4.0279867494753862E-3</v>
      </c>
      <c r="Y56" s="7">
        <f t="shared" si="5"/>
        <v>0.1174963599247265</v>
      </c>
      <c r="Z56" s="7">
        <f t="shared" si="5"/>
        <v>1</v>
      </c>
      <c r="AA56" s="7">
        <f t="shared" si="5"/>
        <v>0.24420650773223737</v>
      </c>
      <c r="AB56" s="7">
        <f t="shared" si="5"/>
        <v>0.11975243736920684</v>
      </c>
    </row>
    <row r="57" spans="1:28" ht="15" x14ac:dyDescent="0.25">
      <c r="A57" s="3" t="s">
        <v>21</v>
      </c>
      <c r="B57" s="3" t="s">
        <v>25</v>
      </c>
      <c r="C57" s="7">
        <f t="shared" ref="C57:O57" si="14">(C11-C$44)/C$45</f>
        <v>-8.8663008638850183E-2</v>
      </c>
      <c r="D57" s="7">
        <f t="shared" si="14"/>
        <v>0.9083883246647193</v>
      </c>
      <c r="E57" s="7">
        <f t="shared" si="14"/>
        <v>-0.23365528328154933</v>
      </c>
      <c r="F57" s="7">
        <f t="shared" si="14"/>
        <v>-8.4009022181672541E-2</v>
      </c>
      <c r="G57" s="7">
        <f t="shared" si="14"/>
        <v>2.1822258978746074E-2</v>
      </c>
      <c r="H57" s="7">
        <f t="shared" si="14"/>
        <v>0.7990606422746559</v>
      </c>
      <c r="I57" s="7">
        <f t="shared" si="14"/>
        <v>0.77670161333755272</v>
      </c>
      <c r="J57" s="7">
        <f t="shared" si="14"/>
        <v>-0.84424545389745642</v>
      </c>
      <c r="K57" s="7">
        <f t="shared" si="14"/>
        <v>1.3355447003749596</v>
      </c>
      <c r="L57" s="7">
        <f t="shared" si="14"/>
        <v>-0.71456783734452711</v>
      </c>
      <c r="M57" s="7">
        <f t="shared" si="14"/>
        <v>-0.63213220034168038</v>
      </c>
      <c r="N57" s="7">
        <f t="shared" si="14"/>
        <v>1.5340482640243867</v>
      </c>
      <c r="O57" s="7">
        <f t="shared" si="14"/>
        <v>1.7789973216670973</v>
      </c>
      <c r="Q57" s="7">
        <f t="shared" si="5"/>
        <v>3.9757124896915811E-4</v>
      </c>
      <c r="R57" s="7">
        <f t="shared" si="5"/>
        <v>8.1668177388296223E-3</v>
      </c>
      <c r="S57" s="7">
        <f t="shared" si="5"/>
        <v>1.2703392117142935E-2</v>
      </c>
      <c r="T57" s="7">
        <f t="shared" si="5"/>
        <v>2.098024843401107E-2</v>
      </c>
      <c r="U57" s="7">
        <f t="shared" si="5"/>
        <v>3.4104713532886216E-2</v>
      </c>
      <c r="V57" s="7">
        <f t="shared" si="5"/>
        <v>5.4189078873551717E-4</v>
      </c>
      <c r="W57" s="7">
        <f t="shared" si="5"/>
        <v>1.8936585296601738E-4</v>
      </c>
      <c r="X57" s="7">
        <f t="shared" si="5"/>
        <v>3.1868326222202789E-3</v>
      </c>
      <c r="Y57" s="7">
        <f t="shared" si="5"/>
        <v>5.606358461711365E-3</v>
      </c>
      <c r="Z57" s="7">
        <f t="shared" si="5"/>
        <v>0.24420650773223737</v>
      </c>
      <c r="AA57" s="7">
        <f t="shared" si="5"/>
        <v>1</v>
      </c>
      <c r="AB57" s="7">
        <f t="shared" si="5"/>
        <v>4.1262319271138173E-3</v>
      </c>
    </row>
    <row r="58" spans="1:28" ht="15.75" customHeight="1" x14ac:dyDescent="0.25">
      <c r="A58" s="3" t="s">
        <v>21</v>
      </c>
      <c r="B58" s="3" t="s">
        <v>26</v>
      </c>
      <c r="C58" s="7">
        <f t="shared" ref="C58:O58" si="15">(C12-C$44)/C$45</f>
        <v>-1.1849881472049939</v>
      </c>
      <c r="D58" s="7">
        <f t="shared" si="15"/>
        <v>-1.7643352258597453</v>
      </c>
      <c r="E58" s="7">
        <f t="shared" si="15"/>
        <v>0.75492254887470556</v>
      </c>
      <c r="F58" s="7">
        <f t="shared" si="15"/>
        <v>-0.45531829459442447</v>
      </c>
      <c r="G58" s="7">
        <f t="shared" si="15"/>
        <v>-0.8606340219151718</v>
      </c>
      <c r="H58" s="7">
        <f t="shared" si="15"/>
        <v>-5.7705674981930341E-2</v>
      </c>
      <c r="I58" s="7">
        <f t="shared" si="15"/>
        <v>-5.1912199666947399E-2</v>
      </c>
      <c r="J58" s="7">
        <f t="shared" si="15"/>
        <v>-1.3101966252462907</v>
      </c>
      <c r="K58" s="7">
        <f t="shared" si="15"/>
        <v>0.56194131469126818</v>
      </c>
      <c r="L58" s="7">
        <f t="shared" si="15"/>
        <v>-0.54323870675314978</v>
      </c>
      <c r="M58" s="7">
        <f t="shared" si="15"/>
        <v>-0.92054453350421162</v>
      </c>
      <c r="N58" s="7">
        <f t="shared" si="15"/>
        <v>-0.20062730855123401</v>
      </c>
      <c r="O58" s="7">
        <f t="shared" si="15"/>
        <v>0.9325902771931317</v>
      </c>
      <c r="Q58" s="7">
        <f t="shared" si="5"/>
        <v>1.4675126634937346E-3</v>
      </c>
      <c r="R58" s="7">
        <f t="shared" si="5"/>
        <v>2.2616661264771698E-4</v>
      </c>
      <c r="S58" s="7">
        <f t="shared" si="5"/>
        <v>3.1674813193271013E-2</v>
      </c>
      <c r="T58" s="7">
        <f t="shared" si="5"/>
        <v>6.3792271158298566E-2</v>
      </c>
      <c r="U58" s="7">
        <f t="shared" si="5"/>
        <v>0.15221943804962226</v>
      </c>
      <c r="V58" s="7">
        <f t="shared" si="5"/>
        <v>3.9017145543772183E-2</v>
      </c>
      <c r="W58" s="7">
        <f t="shared" si="5"/>
        <v>4.0746136759717014E-2</v>
      </c>
      <c r="X58" s="7">
        <f t="shared" si="5"/>
        <v>0.10330521839480888</v>
      </c>
      <c r="Y58" s="7">
        <f t="shared" si="5"/>
        <v>0.15375429036610047</v>
      </c>
      <c r="Z58" s="7">
        <f t="shared" si="5"/>
        <v>0.11975243736920684</v>
      </c>
      <c r="AA58" s="7">
        <f t="shared" si="5"/>
        <v>4.1262319271138173E-3</v>
      </c>
      <c r="AB58" s="7">
        <f t="shared" si="5"/>
        <v>1</v>
      </c>
    </row>
    <row r="59" spans="1:28" ht="15.75" customHeight="1" x14ac:dyDescent="0.25">
      <c r="A59" s="3" t="s">
        <v>21</v>
      </c>
      <c r="B59" s="3" t="s">
        <v>27</v>
      </c>
      <c r="C59" s="7">
        <f t="shared" ref="C59:O59" si="16">(C13-C$44)/C$45</f>
        <v>-1.2636717695901245</v>
      </c>
      <c r="D59" s="7">
        <f t="shared" si="16"/>
        <v>-0.90933875558048038</v>
      </c>
      <c r="E59" s="7">
        <f t="shared" si="16"/>
        <v>0.87084698521876125</v>
      </c>
      <c r="F59" s="7">
        <f t="shared" si="16"/>
        <v>-0.57995715760130606</v>
      </c>
      <c r="G59" s="7">
        <f t="shared" si="16"/>
        <v>-0.96481288840959245</v>
      </c>
      <c r="H59" s="7">
        <f t="shared" si="16"/>
        <v>-0.83586957781130033</v>
      </c>
      <c r="I59" s="7">
        <f t="shared" si="16"/>
        <v>-0.82772219125449031</v>
      </c>
      <c r="J59" s="7">
        <f t="shared" si="16"/>
        <v>-1.2002401319618337</v>
      </c>
      <c r="K59" s="7">
        <f t="shared" si="16"/>
        <v>1.7721327497212005</v>
      </c>
      <c r="L59" s="7">
        <f t="shared" si="16"/>
        <v>-1.3906233256240172</v>
      </c>
      <c r="M59" s="7">
        <f t="shared" si="16"/>
        <v>1.3100205752665524</v>
      </c>
      <c r="N59" s="7">
        <f t="shared" si="16"/>
        <v>-0.45243505295737119</v>
      </c>
      <c r="O59" s="7">
        <f t="shared" si="16"/>
        <v>0.34918117790786452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 x14ac:dyDescent="0.25">
      <c r="A60" s="3" t="s">
        <v>21</v>
      </c>
      <c r="B60" s="3" t="s">
        <v>28</v>
      </c>
      <c r="C60" s="7">
        <f t="shared" ref="C60:O60" si="17">(C14-C$44)/C$45</f>
        <v>-0.42088274759828886</v>
      </c>
      <c r="D60" s="7">
        <f t="shared" si="17"/>
        <v>-0.77409802703764652</v>
      </c>
      <c r="E60" s="7">
        <f t="shared" si="17"/>
        <v>-5.0265338252168078E-3</v>
      </c>
      <c r="F60" s="7">
        <f t="shared" si="17"/>
        <v>-0.60072028910216435</v>
      </c>
      <c r="G60" s="7">
        <f t="shared" si="17"/>
        <v>-0.75032698680343179</v>
      </c>
      <c r="H60" s="7">
        <f t="shared" si="17"/>
        <v>0.11128951603657276</v>
      </c>
      <c r="I60" s="7">
        <f t="shared" si="17"/>
        <v>0.11868476183397926</v>
      </c>
      <c r="J60" s="7">
        <f t="shared" si="17"/>
        <v>-0.75668432463984192</v>
      </c>
      <c r="K60" s="7">
        <f t="shared" si="17"/>
        <v>1.3661824582238187</v>
      </c>
      <c r="L60" s="7">
        <f t="shared" si="17"/>
        <v>-2.0666788139035073</v>
      </c>
      <c r="M60" s="7">
        <f t="shared" si="17"/>
        <v>1.8048197156463037</v>
      </c>
      <c r="N60" s="7">
        <f t="shared" si="17"/>
        <v>-0.64828552082881241</v>
      </c>
      <c r="O60" s="7">
        <f t="shared" si="17"/>
        <v>-0.16802639463557117</v>
      </c>
      <c r="Q60" s="7" t="s">
        <v>86</v>
      </c>
      <c r="R60" s="7">
        <f>SUM(Q47:AB58)-12</f>
        <v>8.7302068570532185</v>
      </c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 x14ac:dyDescent="0.25">
      <c r="A61" s="3" t="s">
        <v>21</v>
      </c>
      <c r="B61" s="3" t="s">
        <v>29</v>
      </c>
      <c r="C61" s="7">
        <f t="shared" ref="C61:O61" si="18">(C15-C$44)/C$45</f>
        <v>-0.61496901614827604</v>
      </c>
      <c r="D61" s="7">
        <f t="shared" si="18"/>
        <v>-0.72825371227736335</v>
      </c>
      <c r="E61" s="7">
        <f t="shared" si="18"/>
        <v>1.6694375467000355</v>
      </c>
      <c r="F61" s="7">
        <f t="shared" si="18"/>
        <v>-0.64520871630860899</v>
      </c>
      <c r="G61" s="7">
        <f t="shared" si="18"/>
        <v>-0.82999317882857704</v>
      </c>
      <c r="H61" s="7">
        <f t="shared" si="18"/>
        <v>0.81871124588145716</v>
      </c>
      <c r="I61" s="7">
        <f t="shared" si="18"/>
        <v>0.80919627267106164</v>
      </c>
      <c r="J61" s="7">
        <f t="shared" si="18"/>
        <v>-0.96730544359206749</v>
      </c>
      <c r="K61" s="7">
        <f t="shared" si="18"/>
        <v>0.14067214426945643</v>
      </c>
      <c r="L61" s="7">
        <f t="shared" si="18"/>
        <v>0.5078886620101678</v>
      </c>
      <c r="M61" s="7">
        <f t="shared" si="18"/>
        <v>-0.69034386391577063</v>
      </c>
      <c r="N61" s="7">
        <f t="shared" si="18"/>
        <v>5.1180435854904685E-2</v>
      </c>
      <c r="O61" s="7">
        <f t="shared" si="18"/>
        <v>-0.21971375791112024</v>
      </c>
    </row>
    <row r="62" spans="1:28" ht="15.75" customHeight="1" x14ac:dyDescent="0.25">
      <c r="A62" s="3" t="s">
        <v>21</v>
      </c>
      <c r="B62" s="3" t="s">
        <v>30</v>
      </c>
      <c r="C62" s="7">
        <f t="shared" ref="C62:O62" si="19">(C16-C$44)/C$45</f>
        <v>-0.72512608748745722</v>
      </c>
      <c r="D62" s="7">
        <f t="shared" si="19"/>
        <v>-1.4938537687740807</v>
      </c>
      <c r="E62" s="7">
        <f t="shared" si="19"/>
        <v>1.1606580760789011</v>
      </c>
      <c r="F62" s="7">
        <f t="shared" si="19"/>
        <v>-0.50161445082239919</v>
      </c>
      <c r="G62" s="7">
        <f t="shared" si="19"/>
        <v>-1.2283241389543036</v>
      </c>
      <c r="H62" s="7">
        <f t="shared" si="19"/>
        <v>0.17417144757833902</v>
      </c>
      <c r="I62" s="7">
        <f t="shared" si="19"/>
        <v>0.17961224808431225</v>
      </c>
      <c r="J62" s="7">
        <f t="shared" si="19"/>
        <v>-0.63117867612710599</v>
      </c>
      <c r="K62" s="7">
        <f t="shared" si="19"/>
        <v>1.5959656420902613</v>
      </c>
      <c r="L62" s="7">
        <f t="shared" si="19"/>
        <v>0.64680417330047357</v>
      </c>
      <c r="M62" s="7">
        <f t="shared" si="19"/>
        <v>-0.21142063178349488</v>
      </c>
      <c r="N62" s="7">
        <f t="shared" si="19"/>
        <v>-0.5923282442941149</v>
      </c>
      <c r="O62" s="7">
        <f t="shared" si="19"/>
        <v>0.68254267987838901</v>
      </c>
    </row>
    <row r="63" spans="1:28" ht="15.75" customHeight="1" x14ac:dyDescent="0.25">
      <c r="A63" s="3" t="s">
        <v>21</v>
      </c>
      <c r="B63" s="3" t="s">
        <v>31</v>
      </c>
      <c r="C63" s="7">
        <f t="shared" ref="C63:O63" si="20">(C17-C$44)/C$45</f>
        <v>-0.92795498074690286</v>
      </c>
      <c r="D63" s="7">
        <f t="shared" si="20"/>
        <v>-0.9345531286986356</v>
      </c>
      <c r="E63" s="7">
        <f t="shared" si="20"/>
        <v>1.2218404174827084</v>
      </c>
      <c r="F63" s="7">
        <f t="shared" si="20"/>
        <v>-0.60260794190474609</v>
      </c>
      <c r="G63" s="7">
        <f t="shared" si="20"/>
        <v>-1.0138382373481436</v>
      </c>
      <c r="H63" s="7">
        <f t="shared" si="20"/>
        <v>-0.52145992010246345</v>
      </c>
      <c r="I63" s="7">
        <f t="shared" si="20"/>
        <v>-0.50683743033607942</v>
      </c>
      <c r="J63" s="7">
        <f t="shared" si="20"/>
        <v>-0.14246406500957109</v>
      </c>
      <c r="K63" s="7">
        <f t="shared" si="20"/>
        <v>0.64619514877563078</v>
      </c>
      <c r="L63" s="7">
        <f t="shared" si="20"/>
        <v>-1.983329507129324</v>
      </c>
      <c r="M63" s="7">
        <f t="shared" si="20"/>
        <v>1.3417723917615072</v>
      </c>
      <c r="N63" s="7">
        <f t="shared" si="20"/>
        <v>-0.64828552082881241</v>
      </c>
      <c r="O63" s="7">
        <f t="shared" si="20"/>
        <v>-0.1065163146707198</v>
      </c>
    </row>
    <row r="64" spans="1:28" ht="15.75" customHeight="1" x14ac:dyDescent="0.25">
      <c r="A64" s="3" t="s">
        <v>21</v>
      </c>
      <c r="B64" s="3" t="s">
        <v>32</v>
      </c>
      <c r="C64" s="7">
        <f t="shared" ref="C64:O64" si="21">(C18-C$44)/C$45</f>
        <v>-0.21980237928073348</v>
      </c>
      <c r="D64" s="7">
        <f t="shared" si="21"/>
        <v>1.1903308604404572</v>
      </c>
      <c r="E64" s="7">
        <f t="shared" si="21"/>
        <v>0.84508599936452655</v>
      </c>
      <c r="F64" s="7">
        <f t="shared" si="21"/>
        <v>-0.58590203534177587</v>
      </c>
      <c r="G64" s="7">
        <f t="shared" si="21"/>
        <v>-0.25394532880060366</v>
      </c>
      <c r="H64" s="7">
        <f t="shared" si="21"/>
        <v>0.34709675931819906</v>
      </c>
      <c r="I64" s="7">
        <f t="shared" si="21"/>
        <v>0.35427104200192394</v>
      </c>
      <c r="J64" s="7">
        <f t="shared" si="21"/>
        <v>-0.96130171926931274</v>
      </c>
      <c r="K64" s="7">
        <f t="shared" si="21"/>
        <v>0.52364411738019445</v>
      </c>
      <c r="L64" s="7">
        <f t="shared" si="21"/>
        <v>-0.10797010471018972</v>
      </c>
      <c r="M64" s="7">
        <f t="shared" si="21"/>
        <v>1.1565534622075879</v>
      </c>
      <c r="N64" s="7">
        <f t="shared" si="21"/>
        <v>0.6946891160039258</v>
      </c>
      <c r="O64" s="7">
        <f t="shared" si="21"/>
        <v>-0.23039983112535289</v>
      </c>
    </row>
    <row r="65" spans="1:15" ht="15.75" customHeight="1" x14ac:dyDescent="0.25">
      <c r="A65" s="3" t="s">
        <v>21</v>
      </c>
      <c r="B65" s="3" t="s">
        <v>33</v>
      </c>
      <c r="C65" s="7">
        <f t="shared" ref="C65:O65" si="22">(C19-C$44)/C$45</f>
        <v>-0.98041072900365567</v>
      </c>
      <c r="D65" s="7">
        <f t="shared" si="22"/>
        <v>-0.42109680338347039</v>
      </c>
      <c r="E65" s="7">
        <f t="shared" si="22"/>
        <v>1.6307960679186833</v>
      </c>
      <c r="F65" s="7">
        <f t="shared" si="22"/>
        <v>-0.27517000466027597</v>
      </c>
      <c r="G65" s="7">
        <f t="shared" si="22"/>
        <v>-1.6082705932280736</v>
      </c>
      <c r="H65" s="7">
        <f t="shared" si="22"/>
        <v>3.2687101609362147E-2</v>
      </c>
      <c r="I65" s="7">
        <f t="shared" si="22"/>
        <v>3.7448113500203835E-2</v>
      </c>
      <c r="J65" s="7">
        <f t="shared" si="22"/>
        <v>3.426136784797397E-2</v>
      </c>
      <c r="K65" s="7">
        <f t="shared" si="22"/>
        <v>0.73044898285999338</v>
      </c>
      <c r="L65" s="7">
        <f t="shared" si="22"/>
        <v>-0.42284526363488367</v>
      </c>
      <c r="M65" s="7">
        <f t="shared" si="22"/>
        <v>1.3073745905586378</v>
      </c>
      <c r="N65" s="7">
        <f t="shared" si="22"/>
        <v>-1.123922371373741</v>
      </c>
      <c r="O65" s="7">
        <f t="shared" si="22"/>
        <v>0.32325604754132292</v>
      </c>
    </row>
    <row r="66" spans="1:15" ht="15.75" customHeight="1" x14ac:dyDescent="0.25">
      <c r="A66" s="3" t="s">
        <v>21</v>
      </c>
      <c r="B66" s="3" t="s">
        <v>34</v>
      </c>
      <c r="C66" s="7">
        <f t="shared" ref="C66:O66" si="23">(C20-C$44)/C$45</f>
        <v>-0.69015558864962123</v>
      </c>
      <c r="D66" s="7">
        <f t="shared" si="23"/>
        <v>0.12445054226388946</v>
      </c>
      <c r="E66" s="7">
        <f t="shared" si="23"/>
        <v>0.5391742923454903</v>
      </c>
      <c r="F66" s="7">
        <f t="shared" si="23"/>
        <v>-0.54498429486996913</v>
      </c>
      <c r="G66" s="7">
        <f t="shared" si="23"/>
        <v>-1.1180171038425641</v>
      </c>
      <c r="H66" s="7">
        <f t="shared" si="23"/>
        <v>0.32351603499003528</v>
      </c>
      <c r="I66" s="7">
        <f t="shared" si="23"/>
        <v>0.32177638266841491</v>
      </c>
      <c r="J66" s="7">
        <f t="shared" si="23"/>
        <v>-0.97117432861204434</v>
      </c>
      <c r="K66" s="7">
        <f t="shared" si="23"/>
        <v>1.1363992743573752</v>
      </c>
      <c r="L66" s="7">
        <f t="shared" si="23"/>
        <v>-0.2978213034736083</v>
      </c>
      <c r="M66" s="7">
        <f t="shared" si="23"/>
        <v>0.55856091821922471</v>
      </c>
      <c r="N66" s="7">
        <f t="shared" si="23"/>
        <v>-0.25658458508593152</v>
      </c>
      <c r="O66" s="7">
        <f t="shared" si="23"/>
        <v>0.1408271848489579</v>
      </c>
    </row>
    <row r="67" spans="1:15" ht="15.75" customHeight="1" x14ac:dyDescent="0.25">
      <c r="A67" s="3" t="s">
        <v>21</v>
      </c>
      <c r="B67" s="3" t="s">
        <v>35</v>
      </c>
      <c r="C67" s="7">
        <f t="shared" ref="C67:O67" si="24">(C21-C$44)/C$45</f>
        <v>-0.3631814245158605</v>
      </c>
      <c r="D67" s="7">
        <f t="shared" si="24"/>
        <v>-0.78555910572771648</v>
      </c>
      <c r="E67" s="7">
        <f t="shared" si="24"/>
        <v>0.20428147624043957</v>
      </c>
      <c r="F67" s="7">
        <f t="shared" si="24"/>
        <v>-0.39677622362924869</v>
      </c>
      <c r="G67" s="7">
        <f t="shared" si="24"/>
        <v>-0.51132841072799606</v>
      </c>
      <c r="H67" s="7">
        <f t="shared" si="24"/>
        <v>-0.23063098672179036</v>
      </c>
      <c r="I67" s="7">
        <f t="shared" si="24"/>
        <v>-0.21844732875118325</v>
      </c>
      <c r="J67" s="7">
        <f t="shared" si="24"/>
        <v>-0.7552202011333391</v>
      </c>
      <c r="K67" s="7">
        <f t="shared" si="24"/>
        <v>0.57726019361569803</v>
      </c>
      <c r="L67" s="7">
        <f t="shared" si="24"/>
        <v>0.43843090636501458</v>
      </c>
      <c r="M67" s="7">
        <f t="shared" si="24"/>
        <v>-0.97346422766247476</v>
      </c>
      <c r="N67" s="7">
        <f t="shared" si="24"/>
        <v>1.5340482640243867</v>
      </c>
      <c r="O67" s="7">
        <f t="shared" si="24"/>
        <v>-0.35675938893450332</v>
      </c>
    </row>
    <row r="68" spans="1:15" ht="15.75" customHeight="1" x14ac:dyDescent="0.25">
      <c r="A68" s="3" t="s">
        <v>21</v>
      </c>
      <c r="B68" s="3" t="s">
        <v>36</v>
      </c>
      <c r="C68" s="7">
        <f t="shared" ref="C68:O68" si="25">(C22-C$44)/C$45</f>
        <v>-0.39115782358612838</v>
      </c>
      <c r="D68" s="7">
        <f t="shared" si="25"/>
        <v>3.0469697005311266E-2</v>
      </c>
      <c r="E68" s="7">
        <f t="shared" si="25"/>
        <v>0.20106135300866029</v>
      </c>
      <c r="F68" s="7">
        <f t="shared" si="25"/>
        <v>0.58624562186255835</v>
      </c>
      <c r="G68" s="7">
        <f t="shared" si="25"/>
        <v>-0.70742980648220011</v>
      </c>
      <c r="H68" s="7">
        <f t="shared" si="25"/>
        <v>0.24098349984146777</v>
      </c>
      <c r="I68" s="7">
        <f t="shared" si="25"/>
        <v>0.2446015667513303</v>
      </c>
      <c r="J68" s="7">
        <f t="shared" si="25"/>
        <v>-3.6531866502764368E-2</v>
      </c>
      <c r="K68" s="7">
        <f t="shared" si="25"/>
        <v>0.35513644921146992</v>
      </c>
      <c r="L68" s="7">
        <f t="shared" si="25"/>
        <v>0.64680417330047357</v>
      </c>
      <c r="M68" s="7">
        <f t="shared" si="25"/>
        <v>8.2283670794863414E-2</v>
      </c>
      <c r="N68" s="7">
        <f t="shared" si="25"/>
        <v>-0.90009326523495103</v>
      </c>
      <c r="O68" s="7">
        <f t="shared" si="25"/>
        <v>0.81590682836150297</v>
      </c>
    </row>
    <row r="69" spans="1:15" ht="15.75" customHeight="1" x14ac:dyDescent="0.25">
      <c r="A69" s="3" t="s">
        <v>21</v>
      </c>
      <c r="B69" s="3" t="s">
        <v>37</v>
      </c>
      <c r="C69" s="7">
        <f t="shared" ref="C69:O69" si="26">(C23-C$44)/C$45</f>
        <v>0.20508918159896714</v>
      </c>
      <c r="D69" s="7">
        <f t="shared" si="26"/>
        <v>-0.32253152664886486</v>
      </c>
      <c r="E69" s="7">
        <f t="shared" si="26"/>
        <v>-0.90666103872342951</v>
      </c>
      <c r="F69" s="7">
        <f t="shared" si="26"/>
        <v>1.3317998353723759</v>
      </c>
      <c r="G69" s="7">
        <f t="shared" si="26"/>
        <v>0.11987295685584697</v>
      </c>
      <c r="H69" s="7">
        <f t="shared" si="26"/>
        <v>0.85408233237370279</v>
      </c>
      <c r="I69" s="7">
        <f t="shared" si="26"/>
        <v>0.84169093200457068</v>
      </c>
      <c r="J69" s="7">
        <f t="shared" si="26"/>
        <v>0.393012524245823</v>
      </c>
      <c r="K69" s="7">
        <f t="shared" si="26"/>
        <v>-0.81675778850738878</v>
      </c>
      <c r="L69" s="7">
        <f t="shared" si="26"/>
        <v>0.65606520738649377</v>
      </c>
      <c r="M69" s="7">
        <f t="shared" si="26"/>
        <v>-9.4997304635316221E-2</v>
      </c>
      <c r="N69" s="7">
        <f t="shared" si="26"/>
        <v>0.35894545679574086</v>
      </c>
      <c r="O69" s="7">
        <f t="shared" si="26"/>
        <v>1.3596911211016163</v>
      </c>
    </row>
    <row r="70" spans="1:15" ht="15.75" customHeight="1" x14ac:dyDescent="0.25">
      <c r="A70" s="3" t="s">
        <v>21</v>
      </c>
      <c r="B70" s="3" t="s">
        <v>38</v>
      </c>
      <c r="C70" s="7">
        <f t="shared" ref="C70:O70" si="27">(C24-C$44)/C$45</f>
        <v>-0.84227725859420666</v>
      </c>
      <c r="D70" s="7">
        <f t="shared" si="27"/>
        <v>-2.5047209092383076</v>
      </c>
      <c r="E70" s="7">
        <f t="shared" si="27"/>
        <v>0.91914883369545131</v>
      </c>
      <c r="F70" s="7">
        <f t="shared" si="27"/>
        <v>-0.52490637425348696</v>
      </c>
      <c r="G70" s="7">
        <f t="shared" si="27"/>
        <v>-0.45004672455480765</v>
      </c>
      <c r="H70" s="7">
        <f t="shared" si="27"/>
        <v>0.31172567282595898</v>
      </c>
      <c r="I70" s="7">
        <f t="shared" si="27"/>
        <v>0.31365271783503912</v>
      </c>
      <c r="J70" s="7">
        <f t="shared" si="27"/>
        <v>-0.88670503558603908</v>
      </c>
      <c r="K70" s="7">
        <f t="shared" si="27"/>
        <v>1.3355447003749596</v>
      </c>
      <c r="L70" s="7">
        <f t="shared" si="27"/>
        <v>0.98483191744021892</v>
      </c>
      <c r="M70" s="7">
        <f t="shared" si="27"/>
        <v>-1.238062698453787</v>
      </c>
      <c r="N70" s="7">
        <f t="shared" si="27"/>
        <v>0.47086000986513588</v>
      </c>
      <c r="O70" s="7">
        <f t="shared" si="27"/>
        <v>0.28494256552931807</v>
      </c>
    </row>
    <row r="71" spans="1:15" ht="15.75" customHeight="1" x14ac:dyDescent="0.25">
      <c r="A71" s="3" t="s">
        <v>21</v>
      </c>
      <c r="B71" s="3" t="s">
        <v>39</v>
      </c>
      <c r="C71" s="7">
        <f t="shared" ref="C71:O71" si="28">(C25-C$44)/C$45</f>
        <v>-0.84577430847798951</v>
      </c>
      <c r="D71" s="7">
        <f t="shared" si="28"/>
        <v>-4.7465638087169637E-2</v>
      </c>
      <c r="E71" s="7">
        <f t="shared" si="28"/>
        <v>0.43613034892855163</v>
      </c>
      <c r="F71" s="7">
        <f t="shared" si="28"/>
        <v>-0.72516563862166405</v>
      </c>
      <c r="G71" s="7">
        <f t="shared" si="28"/>
        <v>-0.72581431233415628</v>
      </c>
      <c r="H71" s="7">
        <f t="shared" si="28"/>
        <v>-5.7705674981930341E-2</v>
      </c>
      <c r="I71" s="7">
        <f t="shared" si="28"/>
        <v>-5.597403208363242E-2</v>
      </c>
      <c r="J71" s="7">
        <f t="shared" si="28"/>
        <v>-0.72269048501399924</v>
      </c>
      <c r="K71" s="7">
        <f t="shared" si="28"/>
        <v>0.81470281694435531</v>
      </c>
      <c r="L71" s="7">
        <f t="shared" si="28"/>
        <v>-2.3352488023980995</v>
      </c>
      <c r="M71" s="7">
        <f t="shared" si="28"/>
        <v>3.2283594885035658</v>
      </c>
      <c r="N71" s="7">
        <f t="shared" si="28"/>
        <v>-0.67626415909616111</v>
      </c>
      <c r="O71" s="7">
        <f t="shared" si="28"/>
        <v>-0.82258095849882784</v>
      </c>
    </row>
    <row r="72" spans="1:15" ht="15.75" customHeight="1" x14ac:dyDescent="0.25">
      <c r="A72" s="3" t="s">
        <v>21</v>
      </c>
      <c r="B72" s="3" t="s">
        <v>40</v>
      </c>
      <c r="C72" s="7">
        <f t="shared" ref="C72:O72" si="29">(C26-C$44)/C$45</f>
        <v>0.56178826974489082</v>
      </c>
      <c r="D72" s="7">
        <f t="shared" si="29"/>
        <v>0.23676911342658022</v>
      </c>
      <c r="E72" s="7">
        <f t="shared" si="29"/>
        <v>-0.30771811761247408</v>
      </c>
      <c r="F72" s="7">
        <f t="shared" si="29"/>
        <v>-0.51159451762239272</v>
      </c>
      <c r="G72" s="7">
        <f t="shared" si="29"/>
        <v>0.86138135955143058</v>
      </c>
      <c r="H72" s="7">
        <f t="shared" si="29"/>
        <v>0.82657148732417651</v>
      </c>
      <c r="I72" s="7">
        <f t="shared" si="29"/>
        <v>0.81731993750443754</v>
      </c>
      <c r="J72" s="7">
        <f t="shared" si="29"/>
        <v>0.62802479569185587</v>
      </c>
      <c r="K72" s="7">
        <f t="shared" si="29"/>
        <v>-0.28825646561456991</v>
      </c>
      <c r="L72" s="7">
        <f t="shared" si="29"/>
        <v>1.1839441502896577</v>
      </c>
      <c r="M72" s="7">
        <f t="shared" si="29"/>
        <v>-0.9999240747416045</v>
      </c>
      <c r="N72" s="7">
        <f t="shared" si="29"/>
        <v>1.478090987489689</v>
      </c>
      <c r="O72" s="7">
        <f t="shared" si="29"/>
        <v>-0.31909749675263471</v>
      </c>
    </row>
    <row r="73" spans="1:15" ht="15.75" customHeight="1" x14ac:dyDescent="0.25">
      <c r="A73" s="3" t="s">
        <v>21</v>
      </c>
      <c r="B73" s="3" t="s">
        <v>41</v>
      </c>
      <c r="C73" s="7">
        <f t="shared" ref="C73:O73" si="30">(C27-C$44)/C$45</f>
        <v>0.22956853078545211</v>
      </c>
      <c r="D73" s="7">
        <f t="shared" si="30"/>
        <v>0.31470444851906115</v>
      </c>
      <c r="E73" s="7">
        <f t="shared" si="30"/>
        <v>2.0734452029017865E-2</v>
      </c>
      <c r="F73" s="7">
        <f t="shared" si="30"/>
        <v>-0.71820728536435896</v>
      </c>
      <c r="G73" s="7">
        <f t="shared" si="30"/>
        <v>0.40789688186983419</v>
      </c>
      <c r="H73" s="7">
        <f t="shared" si="30"/>
        <v>0.34709675931819906</v>
      </c>
      <c r="I73" s="7">
        <f t="shared" si="30"/>
        <v>0.34614737716854815</v>
      </c>
      <c r="J73" s="7">
        <f t="shared" si="30"/>
        <v>0.62815566706673875</v>
      </c>
      <c r="K73" s="7">
        <f t="shared" si="30"/>
        <v>0.24790429674046319</v>
      </c>
      <c r="L73" s="7">
        <f t="shared" si="30"/>
        <v>0.94778778109613715</v>
      </c>
      <c r="M73" s="7">
        <f t="shared" si="30"/>
        <v>-2.3414383216535577</v>
      </c>
      <c r="N73" s="7">
        <f t="shared" si="30"/>
        <v>1.0584114134794596</v>
      </c>
      <c r="O73" s="7">
        <f t="shared" si="30"/>
        <v>-0.88576888227627981</v>
      </c>
    </row>
    <row r="74" spans="1:15" ht="15.75" customHeight="1" x14ac:dyDescent="0.25">
      <c r="A74" s="3" t="s">
        <v>21</v>
      </c>
      <c r="B74" s="3" t="s">
        <v>42</v>
      </c>
      <c r="C74" s="7">
        <f t="shared" ref="C74:O74" si="31">(C28-C$44)/C$45</f>
        <v>1.5059917383664516</v>
      </c>
      <c r="D74" s="7">
        <f t="shared" si="31"/>
        <v>1.0757200735397512</v>
      </c>
      <c r="E74" s="7">
        <f t="shared" si="31"/>
        <v>-1.1739312669611142</v>
      </c>
      <c r="F74" s="7">
        <f t="shared" si="31"/>
        <v>0.89609770395683552</v>
      </c>
      <c r="G74" s="7">
        <f t="shared" si="31"/>
        <v>1.1187644414788229</v>
      </c>
      <c r="H74" s="7">
        <f t="shared" si="31"/>
        <v>1.1056100585407733</v>
      </c>
      <c r="I74" s="7">
        <f t="shared" si="31"/>
        <v>1.0325970555889397</v>
      </c>
      <c r="J74" s="7">
        <f t="shared" si="31"/>
        <v>0.24402364340253027</v>
      </c>
      <c r="K74" s="7">
        <f t="shared" si="31"/>
        <v>-0.38782917862336208</v>
      </c>
      <c r="L74" s="7">
        <f t="shared" si="31"/>
        <v>0.49399711088113668</v>
      </c>
      <c r="M74" s="7">
        <f t="shared" si="31"/>
        <v>3.2009961344510937E-2</v>
      </c>
      <c r="N74" s="7">
        <f t="shared" si="31"/>
        <v>1.1983046048162032</v>
      </c>
      <c r="O74" s="7">
        <f t="shared" si="31"/>
        <v>0.81937654420697792</v>
      </c>
    </row>
    <row r="75" spans="1:15" ht="15.75" customHeight="1" x14ac:dyDescent="0.25">
      <c r="A75" s="3" t="s">
        <v>21</v>
      </c>
      <c r="B75" s="3" t="s">
        <v>43</v>
      </c>
      <c r="C75" s="7">
        <f t="shared" ref="C75:O75" si="32">(C29-C$44)/C$45</f>
        <v>0.34846822683409417</v>
      </c>
      <c r="D75" s="7">
        <f t="shared" si="32"/>
        <v>1.0092458171373402</v>
      </c>
      <c r="E75" s="7">
        <f t="shared" si="32"/>
        <v>0.60679688021285594</v>
      </c>
      <c r="F75" s="7">
        <f t="shared" si="32"/>
        <v>-0.64725971443176433</v>
      </c>
      <c r="G75" s="7">
        <f t="shared" si="32"/>
        <v>0.60399827762403813</v>
      </c>
      <c r="H75" s="7">
        <f t="shared" si="32"/>
        <v>0.2802847070550703</v>
      </c>
      <c r="I75" s="7">
        <f t="shared" si="32"/>
        <v>0.28521989091821515</v>
      </c>
      <c r="J75" s="7">
        <f t="shared" si="32"/>
        <v>-0.10358708720840884</v>
      </c>
      <c r="K75" s="7">
        <f t="shared" si="32"/>
        <v>0.9142755299531472</v>
      </c>
      <c r="L75" s="7">
        <f t="shared" si="32"/>
        <v>0.39212573593491268</v>
      </c>
      <c r="M75" s="7">
        <f t="shared" si="32"/>
        <v>-0.21935858590723456</v>
      </c>
      <c r="N75" s="7">
        <f t="shared" si="32"/>
        <v>1.7298987318958279</v>
      </c>
      <c r="O75" s="7">
        <f t="shared" si="32"/>
        <v>-0.89574635155023941</v>
      </c>
    </row>
    <row r="76" spans="1:15" ht="15.75" customHeight="1" x14ac:dyDescent="0.25">
      <c r="A76" s="3" t="s">
        <v>21</v>
      </c>
      <c r="B76" s="3" t="s">
        <v>44</v>
      </c>
      <c r="C76" s="7">
        <f t="shared" ref="C76:O76" si="33">(C30-C$44)/C$45</f>
        <v>1.5042432134245589</v>
      </c>
      <c r="D76" s="7">
        <f t="shared" si="33"/>
        <v>0.67916675086330724</v>
      </c>
      <c r="E76" s="7">
        <f t="shared" si="33"/>
        <v>-1.0483464609217203</v>
      </c>
      <c r="F76" s="7">
        <f t="shared" si="33"/>
        <v>-0.20154883459677203</v>
      </c>
      <c r="G76" s="7">
        <f t="shared" si="33"/>
        <v>1.3700193547888968</v>
      </c>
      <c r="H76" s="7">
        <f t="shared" si="33"/>
        <v>1.4082293540855284</v>
      </c>
      <c r="I76" s="7">
        <f t="shared" si="33"/>
        <v>1.3331726544239024</v>
      </c>
      <c r="J76" s="7">
        <f t="shared" si="33"/>
        <v>1.5322969193673643</v>
      </c>
      <c r="K76" s="7">
        <f t="shared" si="33"/>
        <v>-1.5290856584933614</v>
      </c>
      <c r="L76" s="7">
        <f t="shared" si="33"/>
        <v>0.25784074168761623</v>
      </c>
      <c r="M76" s="7">
        <f t="shared" si="33"/>
        <v>3.9947915468250605E-2</v>
      </c>
      <c r="N76" s="7">
        <f t="shared" si="33"/>
        <v>-0.20062730855123401</v>
      </c>
      <c r="O76" s="7">
        <f t="shared" si="33"/>
        <v>0.8990089663224905</v>
      </c>
    </row>
    <row r="77" spans="1:15" ht="15.75" customHeight="1" x14ac:dyDescent="0.25">
      <c r="A77" s="3" t="s">
        <v>21</v>
      </c>
      <c r="B77" s="3" t="s">
        <v>45</v>
      </c>
      <c r="C77" s="7">
        <f t="shared" ref="C77:O77" si="34">(C31-C$44)/C$45</f>
        <v>1.4115713915042944</v>
      </c>
      <c r="D77" s="7">
        <f t="shared" si="34"/>
        <v>0.69292004529139239</v>
      </c>
      <c r="E77" s="7">
        <f t="shared" si="34"/>
        <v>-1.6698302446551312</v>
      </c>
      <c r="F77" s="7">
        <f t="shared" si="34"/>
        <v>-0.37191861606279114</v>
      </c>
      <c r="G77" s="7">
        <f t="shared" si="34"/>
        <v>1.4435573781967226</v>
      </c>
      <c r="H77" s="7">
        <f t="shared" si="34"/>
        <v>1.1684919900825397</v>
      </c>
      <c r="I77" s="7">
        <f t="shared" si="34"/>
        <v>1.2153795143399331</v>
      </c>
      <c r="J77" s="7">
        <f t="shared" si="34"/>
        <v>1.7796519973570442</v>
      </c>
      <c r="K77" s="7">
        <f t="shared" si="34"/>
        <v>-1.5827017347288648</v>
      </c>
      <c r="L77" s="7">
        <f t="shared" si="34"/>
        <v>-0.11723113879621076</v>
      </c>
      <c r="M77" s="7">
        <f t="shared" si="34"/>
        <v>-0.16643889174897136</v>
      </c>
      <c r="N77" s="7">
        <f t="shared" si="34"/>
        <v>-0.42445641469002399</v>
      </c>
      <c r="O77" s="7">
        <f t="shared" si="34"/>
        <v>0.50048848133835233</v>
      </c>
    </row>
    <row r="78" spans="1:15" ht="15.75" customHeight="1" x14ac:dyDescent="0.25">
      <c r="A78" s="3" t="s">
        <v>21</v>
      </c>
      <c r="B78" s="3" t="s">
        <v>46</v>
      </c>
      <c r="C78" s="7">
        <f t="shared" ref="C78:O78" si="35">(C32-C$44)/C$45</f>
        <v>0.86253455975027638</v>
      </c>
      <c r="D78" s="7">
        <f t="shared" si="35"/>
        <v>0.46369847148998034</v>
      </c>
      <c r="E78" s="7">
        <f t="shared" si="35"/>
        <v>-0.81327746500182896</v>
      </c>
      <c r="F78" s="7">
        <f t="shared" si="35"/>
        <v>-0.59748355085750038</v>
      </c>
      <c r="G78" s="7">
        <f t="shared" si="35"/>
        <v>1.2474559824425198</v>
      </c>
      <c r="H78" s="7">
        <f t="shared" si="35"/>
        <v>1.0034269197853991</v>
      </c>
      <c r="I78" s="7">
        <f t="shared" si="35"/>
        <v>0.95136040725516435</v>
      </c>
      <c r="J78" s="7">
        <f t="shared" si="35"/>
        <v>0.33336789514292481</v>
      </c>
      <c r="K78" s="7">
        <f t="shared" si="35"/>
        <v>-0.51038021001879796</v>
      </c>
      <c r="L78" s="7">
        <f t="shared" si="35"/>
        <v>1.471036206956291</v>
      </c>
      <c r="M78" s="7">
        <f t="shared" si="35"/>
        <v>-0.5077709190697639</v>
      </c>
      <c r="N78" s="7">
        <f t="shared" si="35"/>
        <v>0.58277456293453078</v>
      </c>
      <c r="O78" s="7">
        <f t="shared" si="35"/>
        <v>-0.70549026602336395</v>
      </c>
    </row>
    <row r="79" spans="1:15" ht="15.75" customHeight="1" x14ac:dyDescent="0.25">
      <c r="A79" s="3" t="s">
        <v>21</v>
      </c>
      <c r="B79" s="3" t="s">
        <v>47</v>
      </c>
      <c r="C79" s="7">
        <f t="shared" ref="C79:O79" si="36">(C33-C$44)/C$45</f>
        <v>2.4991112584116348E-2</v>
      </c>
      <c r="D79" s="7">
        <f t="shared" si="36"/>
        <v>0.3788864891834568</v>
      </c>
      <c r="E79" s="7">
        <f t="shared" si="36"/>
        <v>1.7177393951767257</v>
      </c>
      <c r="F79" s="7">
        <f t="shared" si="36"/>
        <v>-0.65791205040979317</v>
      </c>
      <c r="G79" s="7">
        <f t="shared" si="36"/>
        <v>0.24856449781954373</v>
      </c>
      <c r="H79" s="7">
        <f t="shared" si="36"/>
        <v>0.24098349984146777</v>
      </c>
      <c r="I79" s="7">
        <f t="shared" si="36"/>
        <v>0.24053973433463952</v>
      </c>
      <c r="J79" s="7">
        <f t="shared" si="36"/>
        <v>-3.8303817038906666E-3</v>
      </c>
      <c r="K79" s="7">
        <f t="shared" si="36"/>
        <v>0.64619514877563078</v>
      </c>
      <c r="L79" s="7">
        <f t="shared" si="36"/>
        <v>-0.98776834288212922</v>
      </c>
      <c r="M79" s="7">
        <f t="shared" si="36"/>
        <v>0.51622516289261566</v>
      </c>
      <c r="N79" s="7">
        <f t="shared" si="36"/>
        <v>0.19107362719164842</v>
      </c>
      <c r="O79" s="7">
        <f t="shared" si="36"/>
        <v>-0.58535339109201368</v>
      </c>
    </row>
    <row r="80" spans="1:15" ht="15.75" customHeight="1" x14ac:dyDescent="0.25">
      <c r="A80" s="3" t="s">
        <v>21</v>
      </c>
      <c r="B80" s="3" t="s">
        <v>48</v>
      </c>
      <c r="C80" s="7">
        <f t="shared" ref="C80:O80" si="37">(C34-C$44)/C$45</f>
        <v>-0.20931122962938242</v>
      </c>
      <c r="D80" s="7">
        <f t="shared" si="37"/>
        <v>-0.64573394570885512</v>
      </c>
      <c r="E80" s="7">
        <f t="shared" si="37"/>
        <v>-0.49770538828745459</v>
      </c>
      <c r="F80" s="7">
        <f t="shared" si="37"/>
        <v>-0.76440358058800018</v>
      </c>
      <c r="G80" s="7">
        <f t="shared" si="37"/>
        <v>-0.18040730539277663</v>
      </c>
      <c r="H80" s="7">
        <f t="shared" si="37"/>
        <v>-0.23456110744314726</v>
      </c>
      <c r="I80" s="7">
        <f t="shared" si="37"/>
        <v>-0.21844732875118325</v>
      </c>
      <c r="J80" s="7">
        <f t="shared" si="37"/>
        <v>-1.0327002337288846</v>
      </c>
      <c r="K80" s="7">
        <f t="shared" si="37"/>
        <v>0.46236860168247668</v>
      </c>
      <c r="L80" s="7">
        <f t="shared" si="37"/>
        <v>-1.5712134903014152</v>
      </c>
      <c r="M80" s="7">
        <f t="shared" si="37"/>
        <v>0.73054992423357534</v>
      </c>
      <c r="N80" s="7">
        <f t="shared" si="37"/>
        <v>-1.3197728392451822</v>
      </c>
      <c r="O80" s="7">
        <f t="shared" si="37"/>
        <v>-1.0035111645818797</v>
      </c>
    </row>
    <row r="81" spans="1:15" ht="15.75" customHeight="1" x14ac:dyDescent="0.25">
      <c r="A81" s="3" t="s">
        <v>49</v>
      </c>
      <c r="B81" s="3" t="s">
        <v>50</v>
      </c>
      <c r="C81" s="7">
        <f t="shared" ref="C81:O81" si="38">(C35-C$44)/C$45</f>
        <v>-1.3808229406968737</v>
      </c>
      <c r="D81" s="7">
        <f t="shared" si="38"/>
        <v>-0.7511758696575066</v>
      </c>
      <c r="E81" s="7">
        <f t="shared" si="38"/>
        <v>0.73560180948402931</v>
      </c>
      <c r="F81" s="7">
        <f t="shared" si="38"/>
        <v>-0.62222039831276299</v>
      </c>
      <c r="G81" s="7">
        <f t="shared" si="38"/>
        <v>-1.1180171038425641</v>
      </c>
      <c r="H81" s="7">
        <f t="shared" si="38"/>
        <v>-2.7301877655070523</v>
      </c>
      <c r="I81" s="7">
        <f t="shared" si="38"/>
        <v>-2.7977109133485141</v>
      </c>
      <c r="J81" s="7">
        <f t="shared" si="38"/>
        <v>-0.89078658659020071</v>
      </c>
      <c r="K81" s="7">
        <f t="shared" si="38"/>
        <v>0.20960709942938952</v>
      </c>
      <c r="L81" s="7">
        <f t="shared" si="38"/>
        <v>-0.45062836589294514</v>
      </c>
      <c r="M81" s="7">
        <f t="shared" si="38"/>
        <v>-1.1401612642610002</v>
      </c>
      <c r="N81" s="7">
        <f t="shared" si="38"/>
        <v>-1.5156233071166234</v>
      </c>
      <c r="O81" s="7">
        <f t="shared" si="38"/>
        <v>-1.165594061524388</v>
      </c>
    </row>
    <row r="82" spans="1:15" ht="15.75" customHeight="1" x14ac:dyDescent="0.25">
      <c r="A82" s="3" t="s">
        <v>49</v>
      </c>
      <c r="B82" s="3" t="s">
        <v>51</v>
      </c>
      <c r="C82" s="7">
        <f t="shared" ref="C82:O82" si="39">(C36-C$44)/C$45</f>
        <v>-1.5714121593630781</v>
      </c>
      <c r="D82" s="7">
        <f t="shared" si="39"/>
        <v>-2.3328047288872482</v>
      </c>
      <c r="E82" s="7">
        <f t="shared" si="39"/>
        <v>0.51663342972303494</v>
      </c>
      <c r="F82" s="7">
        <f t="shared" si="39"/>
        <v>-0.61251097057442627</v>
      </c>
      <c r="G82" s="7">
        <f t="shared" si="39"/>
        <v>-1.5469889070548846</v>
      </c>
      <c r="H82" s="7">
        <f t="shared" si="39"/>
        <v>-1.7476575851669334</v>
      </c>
      <c r="I82" s="7">
        <f t="shared" si="39"/>
        <v>-1.7456963174261415</v>
      </c>
      <c r="J82" s="7">
        <f t="shared" si="39"/>
        <v>-1.1133006417349132</v>
      </c>
      <c r="K82" s="7">
        <f t="shared" si="39"/>
        <v>-0.14272711583248948</v>
      </c>
      <c r="L82" s="7">
        <f t="shared" si="39"/>
        <v>-0.228363547828455</v>
      </c>
      <c r="M82" s="7">
        <f t="shared" si="39"/>
        <v>1.4237979177068145</v>
      </c>
      <c r="N82" s="7">
        <f t="shared" si="39"/>
        <v>-1.2638155627104848</v>
      </c>
      <c r="O82" s="7">
        <f t="shared" si="39"/>
        <v>-1.1655016579416018</v>
      </c>
    </row>
    <row r="83" spans="1:15" ht="15.75" customHeight="1" x14ac:dyDescent="0.25">
      <c r="A83" s="3" t="s">
        <v>49</v>
      </c>
      <c r="B83" s="3" t="s">
        <v>52</v>
      </c>
      <c r="C83" s="7">
        <f t="shared" ref="C83:O83" si="40">(C37-C$44)/C$45</f>
        <v>-0.17084368090776353</v>
      </c>
      <c r="D83" s="7">
        <f t="shared" si="40"/>
        <v>0.22760025047452556</v>
      </c>
      <c r="E83" s="7">
        <f t="shared" si="40"/>
        <v>-0.45262366304254376</v>
      </c>
      <c r="F83" s="7">
        <f t="shared" si="40"/>
        <v>2.4591306578415274E-2</v>
      </c>
      <c r="G83" s="7">
        <f t="shared" si="40"/>
        <v>-0.32748335220842961</v>
      </c>
      <c r="H83" s="7">
        <f t="shared" si="40"/>
        <v>-0.69831535256368593</v>
      </c>
      <c r="I83" s="7">
        <f t="shared" si="40"/>
        <v>-0.65712522975356358</v>
      </c>
      <c r="J83" s="7">
        <f t="shared" si="40"/>
        <v>0.4099849056759538</v>
      </c>
      <c r="K83" s="7">
        <f t="shared" si="40"/>
        <v>-1.1384542459204086</v>
      </c>
      <c r="L83" s="7">
        <f t="shared" si="40"/>
        <v>1.3599037979240458</v>
      </c>
      <c r="M83" s="7">
        <f t="shared" si="40"/>
        <v>0.22252086031425919</v>
      </c>
      <c r="N83" s="7">
        <f t="shared" si="40"/>
        <v>-2.0751960724635983</v>
      </c>
      <c r="O83" s="7">
        <f t="shared" si="40"/>
        <v>-1.163992282679583</v>
      </c>
    </row>
    <row r="84" spans="1:15" ht="15.75" customHeight="1" x14ac:dyDescent="0.25">
      <c r="A84" s="3" t="s">
        <v>49</v>
      </c>
      <c r="B84" s="3" t="s">
        <v>53</v>
      </c>
      <c r="C84" s="7">
        <f t="shared" ref="C84:O84" si="41">(C38-C$44)/C$45</f>
        <v>-1.083573700575271</v>
      </c>
      <c r="D84" s="7">
        <f t="shared" si="41"/>
        <v>0.49349727608416283</v>
      </c>
      <c r="E84" s="7">
        <f t="shared" si="41"/>
        <v>-0.86801955994207758</v>
      </c>
      <c r="F84" s="7">
        <f t="shared" si="41"/>
        <v>-0.33055324995071866</v>
      </c>
      <c r="G84" s="7">
        <f t="shared" si="41"/>
        <v>-0.87289035914980928</v>
      </c>
      <c r="H84" s="7">
        <f t="shared" si="41"/>
        <v>-2.7341178862284119</v>
      </c>
      <c r="I84" s="7">
        <f t="shared" si="41"/>
        <v>-2.8139582430152714</v>
      </c>
      <c r="J84" s="7">
        <f t="shared" si="41"/>
        <v>-1.0596024807282582</v>
      </c>
      <c r="K84" s="7">
        <f t="shared" si="41"/>
        <v>-0.67888787818752294</v>
      </c>
      <c r="L84" s="7">
        <f t="shared" si="41"/>
        <v>0.97094036631118852</v>
      </c>
      <c r="M84" s="7">
        <f t="shared" si="41"/>
        <v>-0.2987381271446275</v>
      </c>
      <c r="N84" s="7">
        <f t="shared" si="41"/>
        <v>-1.571580583651321</v>
      </c>
      <c r="O84" s="7">
        <f t="shared" si="41"/>
        <v>-1.1653104000367112</v>
      </c>
    </row>
    <row r="85" spans="1:15" ht="15.75" customHeight="1" x14ac:dyDescent="0.25">
      <c r="A85" s="3" t="s">
        <v>49</v>
      </c>
      <c r="B85" s="3" t="s">
        <v>54</v>
      </c>
      <c r="C85" s="7">
        <f t="shared" ref="C85:O85" si="42">(C39-C$44)/C$45</f>
        <v>0.93597260730973131</v>
      </c>
      <c r="D85" s="7">
        <f t="shared" si="42"/>
        <v>1.1628242715842867</v>
      </c>
      <c r="E85" s="7">
        <f t="shared" si="42"/>
        <v>-0.77785610945225647</v>
      </c>
      <c r="F85" s="7">
        <f t="shared" si="42"/>
        <v>0.10272519717663163</v>
      </c>
      <c r="G85" s="7">
        <f t="shared" si="42"/>
        <v>1.0819954297749095</v>
      </c>
      <c r="H85" s="7">
        <f t="shared" si="42"/>
        <v>-1.0544226325602854E-2</v>
      </c>
      <c r="I85" s="7">
        <f t="shared" si="42"/>
        <v>2.5262616250137232E-2</v>
      </c>
      <c r="J85" s="7">
        <f t="shared" si="42"/>
        <v>1.3268452197230147</v>
      </c>
      <c r="K85" s="7">
        <f t="shared" si="42"/>
        <v>-1.4601507033334287</v>
      </c>
      <c r="L85" s="7">
        <f t="shared" si="42"/>
        <v>-0.69141525212947574</v>
      </c>
      <c r="M85" s="7">
        <f t="shared" si="42"/>
        <v>0.10080556375025347</v>
      </c>
      <c r="N85" s="7">
        <f t="shared" si="42"/>
        <v>-0.56434960602676609</v>
      </c>
      <c r="O85" s="7">
        <f t="shared" si="42"/>
        <v>-1.1650880124276857</v>
      </c>
    </row>
    <row r="86" spans="1:15" ht="15.75" customHeight="1" x14ac:dyDescent="0.25">
      <c r="A86" s="3" t="s">
        <v>49</v>
      </c>
      <c r="B86" s="3" t="s">
        <v>55</v>
      </c>
      <c r="C86" s="7">
        <f t="shared" ref="C86:O86" si="43">(C40-C$44)/C$45</f>
        <v>2.6739637526006537E-2</v>
      </c>
      <c r="D86" s="7">
        <f t="shared" si="43"/>
        <v>-0.63427286701878516</v>
      </c>
      <c r="E86" s="7">
        <f t="shared" si="43"/>
        <v>-1.2705349639144941</v>
      </c>
      <c r="F86" s="7">
        <f t="shared" si="43"/>
        <v>-0.15170682571930041</v>
      </c>
      <c r="G86" s="7">
        <f t="shared" si="43"/>
        <v>0.57948560315476216</v>
      </c>
      <c r="H86" s="7">
        <f t="shared" si="43"/>
        <v>-1.9559539833990391</v>
      </c>
      <c r="I86" s="7">
        <f t="shared" si="43"/>
        <v>-1.9690971003440196</v>
      </c>
      <c r="J86" s="7">
        <f t="shared" si="43"/>
        <v>0.27771484297395616</v>
      </c>
      <c r="K86" s="7">
        <f t="shared" si="43"/>
        <v>-1.0005843356005428</v>
      </c>
      <c r="L86" s="7">
        <f t="shared" si="43"/>
        <v>1.1885746673326678</v>
      </c>
      <c r="M86" s="7">
        <f t="shared" si="43"/>
        <v>-0.73003363453446712</v>
      </c>
      <c r="N86" s="7">
        <f t="shared" si="43"/>
        <v>0.38692409506308961</v>
      </c>
      <c r="O86" s="7">
        <f t="shared" si="43"/>
        <v>-1.1662752416776851</v>
      </c>
    </row>
    <row r="87" spans="1:15" ht="15.75" customHeight="1" x14ac:dyDescent="0.25">
      <c r="A87" s="3" t="s">
        <v>49</v>
      </c>
      <c r="B87" s="3" t="s">
        <v>56</v>
      </c>
      <c r="C87" s="7">
        <f t="shared" ref="C87:O87" si="44">(C41-C$44)/C$45</f>
        <v>-0.12887908230236175</v>
      </c>
      <c r="D87" s="7">
        <f t="shared" si="44"/>
        <v>0.52558829641636073</v>
      </c>
      <c r="E87" s="7">
        <f t="shared" si="44"/>
        <v>-0.50736575798279271</v>
      </c>
      <c r="F87" s="7">
        <f t="shared" si="44"/>
        <v>-0.595926173898498</v>
      </c>
      <c r="G87" s="7">
        <f t="shared" si="44"/>
        <v>-0.10074111336763195</v>
      </c>
      <c r="H87" s="7">
        <f t="shared" si="44"/>
        <v>-1.4804093761144186</v>
      </c>
      <c r="I87" s="7">
        <f t="shared" si="44"/>
        <v>-1.4166878916743548</v>
      </c>
      <c r="J87" s="7">
        <f t="shared" si="44"/>
        <v>-0.48277871647078652</v>
      </c>
      <c r="K87" s="7">
        <f t="shared" si="44"/>
        <v>-1.5597234163422204</v>
      </c>
      <c r="L87" s="7">
        <f t="shared" si="44"/>
        <v>-0.39969267841983314</v>
      </c>
      <c r="M87" s="7">
        <f t="shared" si="44"/>
        <v>-0.21142063178349488</v>
      </c>
      <c r="N87" s="7">
        <f t="shared" si="44"/>
        <v>-0.20062730855123401</v>
      </c>
      <c r="O87" s="7">
        <f t="shared" si="44"/>
        <v>-1.1660670180025925</v>
      </c>
    </row>
    <row r="88" spans="1:15" ht="15.75" customHeight="1" x14ac:dyDescent="0.25">
      <c r="A88" s="3" t="s">
        <v>49</v>
      </c>
      <c r="B88" s="3" t="s">
        <v>57</v>
      </c>
      <c r="C88" s="7">
        <f t="shared" ref="C88:O88" si="45">(C42-C$44)/C$45</f>
        <v>1.4797638642380739</v>
      </c>
      <c r="D88" s="7">
        <f t="shared" si="45"/>
        <v>0.82357634235819577</v>
      </c>
      <c r="E88" s="7">
        <f t="shared" si="45"/>
        <v>-1.7213522163636006</v>
      </c>
      <c r="F88" s="7">
        <f t="shared" si="45"/>
        <v>-0.2722749099742206</v>
      </c>
      <c r="G88" s="7">
        <f t="shared" si="45"/>
        <v>1.7683503149146234</v>
      </c>
      <c r="H88" s="7">
        <f t="shared" si="45"/>
        <v>0.34316663859684216</v>
      </c>
      <c r="I88" s="7">
        <f t="shared" si="45"/>
        <v>0.35833287441861472</v>
      </c>
      <c r="J88" s="7">
        <f t="shared" si="45"/>
        <v>1.4106683353355354</v>
      </c>
      <c r="K88" s="7">
        <f t="shared" si="45"/>
        <v>-1.3912157481734957</v>
      </c>
      <c r="L88" s="7">
        <f t="shared" si="45"/>
        <v>-0.76087300777462896</v>
      </c>
      <c r="M88" s="7">
        <f t="shared" si="45"/>
        <v>-0.55539864381220005</v>
      </c>
      <c r="N88" s="7">
        <f t="shared" si="45"/>
        <v>0.2470309037263459</v>
      </c>
      <c r="O88" s="7">
        <f t="shared" si="45"/>
        <v>-1.1655279088668835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3BDD-F248-48BA-A412-245043BD5254}">
  <dimension ref="A1:AB273"/>
  <sheetViews>
    <sheetView topLeftCell="F1" zoomScale="191" workbookViewId="0">
      <selection activeCell="C43" sqref="C43"/>
    </sheetView>
  </sheetViews>
  <sheetFormatPr defaultRowHeight="12.75" x14ac:dyDescent="0.2"/>
  <cols>
    <col min="3" max="3" width="13" bestFit="1" customWidth="1"/>
    <col min="4" max="4" width="12.28515625" customWidth="1"/>
    <col min="5" max="5" width="12.5703125" bestFit="1" customWidth="1"/>
    <col min="6" max="6" width="12.42578125" bestFit="1" customWidth="1"/>
    <col min="7" max="7" width="12.5703125" bestFit="1" customWidth="1"/>
    <col min="8" max="10" width="12.28515625" bestFit="1" customWidth="1"/>
    <col min="11" max="12" width="12.5703125" bestFit="1" customWidth="1"/>
    <col min="13" max="13" width="12.28515625" bestFit="1" customWidth="1"/>
    <col min="14" max="14" width="12.57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7" t="s">
        <v>83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" x14ac:dyDescent="0.25">
      <c r="A2" s="3" t="s">
        <v>14</v>
      </c>
      <c r="B2" s="3" t="s">
        <v>15</v>
      </c>
      <c r="C2" s="4">
        <f>'2020'!C2*'Bobot M'!$J2</f>
        <v>3.4100518521373954E-2</v>
      </c>
      <c r="D2" s="4">
        <f>'2020'!D2*'Bobot M'!$J2</f>
        <v>4.4459687626847884E-2</v>
      </c>
      <c r="E2" s="4">
        <f>'2020'!E2*'Bobot M'!$J2</f>
        <v>7.0790829319116386E-3</v>
      </c>
      <c r="F2" s="4">
        <f>'2020'!F2*'Bobot M'!$J2</f>
        <v>1.7644150044651992</v>
      </c>
      <c r="G2" s="4">
        <f>'2020'!G2*'Bobot M'!$J2</f>
        <v>4.1322420880291208E-3</v>
      </c>
      <c r="H2" s="4">
        <f>'2020'!H2*'Bobot M'!$J2</f>
        <v>3.1739237328214459E-2</v>
      </c>
      <c r="I2" s="4">
        <f>'2020'!I2*'Bobot M'!$J2</f>
        <v>3.367682088792396E-2</v>
      </c>
      <c r="J2" s="4">
        <f>'2020'!J2*'Bobot M'!$J2</f>
        <v>315.08441134173381</v>
      </c>
      <c r="K2" s="4">
        <f>'2020'!K2*'Bobot M'!$J2</f>
        <v>1.3615452041201941E-3</v>
      </c>
      <c r="L2" s="4">
        <f>'2020'!L2*'Bobot M'!$J2</f>
        <v>3.5085972567712696E-3</v>
      </c>
      <c r="M2" s="4">
        <f>'2020'!M2*'Bobot M'!$J2</f>
        <v>2.8897130730802724E-2</v>
      </c>
      <c r="N2" s="4">
        <f>'2020'!N2*'Bobot M'!$J2</f>
        <v>1.4567581554572706E-4</v>
      </c>
      <c r="Q2" s="7">
        <f>CORREL(C$2:C$42,C$2:C$42)</f>
        <v>1</v>
      </c>
      <c r="R2" s="7">
        <f>CORREL(C$2:C$42,D$2:D$42)</f>
        <v>0.99704061927844678</v>
      </c>
      <c r="S2" s="7">
        <f>CORREL(C$2:C$42,E$2:E$42)</f>
        <v>0.80419513470353854</v>
      </c>
      <c r="T2" s="7">
        <f>CORREL(C$2:C$42,F$2:F$42)</f>
        <v>0.74424211421676689</v>
      </c>
      <c r="U2" s="7">
        <f>CORREL(C$2:C$42,G$2:G$42)</f>
        <v>0.98878505775086745</v>
      </c>
      <c r="V2" s="7">
        <f>CORREL(C$2:C$42,H$2:H$42)</f>
        <v>0.99530688882266383</v>
      </c>
      <c r="W2" s="7">
        <f>CORREL(C$2:C$42,I$2:I$42)</f>
        <v>0.99506060064209634</v>
      </c>
      <c r="X2" s="7">
        <f>CORREL(C$2:C$42,J$2:J$42)</f>
        <v>0.96085378176348912</v>
      </c>
      <c r="Y2" s="7">
        <f>CORREL(C$2:C$42,K$2:K$42)</f>
        <v>0.81708880444348009</v>
      </c>
      <c r="Z2" s="7">
        <f>CORREL(C$2:C$42,L$2:L$42)</f>
        <v>0.95765212192936167</v>
      </c>
      <c r="AA2" s="7">
        <f>CORREL(C$2:C$42,M$2:M$42)</f>
        <v>0.98959601506517259</v>
      </c>
      <c r="AB2" s="7">
        <f>CORREL(C$2:C$42,N$2:N$42)</f>
        <v>0.99164693207141974</v>
      </c>
    </row>
    <row r="3" spans="1:28" ht="15" x14ac:dyDescent="0.25">
      <c r="A3" s="3" t="s">
        <v>14</v>
      </c>
      <c r="B3" s="3" t="s">
        <v>16</v>
      </c>
      <c r="C3" s="4">
        <f>'2020'!C3*'Bobot M'!$J3</f>
        <v>3.1992431372968264</v>
      </c>
      <c r="D3" s="4">
        <f>'2020'!D3*'Bobot M'!$J3</f>
        <v>3.6304914449919368</v>
      </c>
      <c r="E3" s="4">
        <f>'2020'!E3*'Bobot M'!$J3</f>
        <v>0.12952554250387294</v>
      </c>
      <c r="F3" s="4">
        <f>'2020'!F3*'Bobot M'!$J3</f>
        <v>15832.22011177823</v>
      </c>
      <c r="G3" s="4">
        <f>'2020'!G3*'Bobot M'!$J3</f>
        <v>0.43917844295044961</v>
      </c>
      <c r="H3" s="4">
        <f>'2020'!H3*'Bobot M'!$J3</f>
        <v>2.7275889023483213</v>
      </c>
      <c r="I3" s="4">
        <f>'2020'!I3*'Bobot M'!$J3</f>
        <v>2.8714642134094746</v>
      </c>
      <c r="J3" s="4">
        <f>'2020'!J3*'Bobot M'!$J3</f>
        <v>29557.917612127974</v>
      </c>
      <c r="K3" s="4">
        <f>'2020'!K3*'Bobot M'!$J3</f>
        <v>5.6643823252422565E-2</v>
      </c>
      <c r="L3" s="4">
        <f>'2020'!L3*'Bobot M'!$J3</f>
        <v>0.40745790192909292</v>
      </c>
      <c r="M3" s="4">
        <f>'2020'!M3*'Bobot M'!$J3</f>
        <v>2.4096282411580559</v>
      </c>
      <c r="N3" s="4">
        <f>'2020'!N3*'Bobot M'!$J3</f>
        <v>1.6124608352522954E-2</v>
      </c>
      <c r="Q3" s="7">
        <f>R2</f>
        <v>0.99704061927844678</v>
      </c>
      <c r="R3" s="7">
        <f>CORREL(D$2:D$42,D$2:D$42)</f>
        <v>1</v>
      </c>
      <c r="S3" s="7">
        <f>CORREL(D$2:D$42,E$2:E$42)</f>
        <v>0.83548087434721541</v>
      </c>
      <c r="T3" s="7">
        <f>CORREL(D$2:D$42,F$2:F$42)</f>
        <v>0.71514329607124194</v>
      </c>
      <c r="U3" s="7">
        <f>CORREL(D$2:D$42,G$2:G$42)</f>
        <v>0.97679059631281973</v>
      </c>
      <c r="V3" s="7">
        <f>CORREL(D$2:D$42,H$2:H$42)</f>
        <v>0.99855774238715578</v>
      </c>
      <c r="W3" s="7">
        <f>CORREL(D$2:D$42,I$2:I$42)</f>
        <v>0.99849503039118048</v>
      </c>
      <c r="X3" s="7">
        <f>CORREL(D$2:D$42,J$2:J$42)</f>
        <v>0.94157598606760218</v>
      </c>
      <c r="Y3" s="7">
        <f>CORREL(D$2:D$42,K$2:K$42)</f>
        <v>0.85288783580810568</v>
      </c>
      <c r="Z3" s="7">
        <f>CORREL(D$2:D$42,L$2:L$42)</f>
        <v>0.9612549193694373</v>
      </c>
      <c r="AA3" s="7">
        <f>CORREL(D$2:D$42,M$2:M$42)</f>
        <v>0.99542407225796148</v>
      </c>
      <c r="AB3" s="7">
        <f>CORREL(D$2:D$42,N$2:N$42)</f>
        <v>0.99509453179699214</v>
      </c>
    </row>
    <row r="4" spans="1:28" ht="15" x14ac:dyDescent="0.25">
      <c r="A4" s="3" t="s">
        <v>14</v>
      </c>
      <c r="B4" s="3" t="s">
        <v>17</v>
      </c>
      <c r="C4" s="4">
        <f>'2020'!C4*'Bobot M'!$J4</f>
        <v>4.2791699389652376</v>
      </c>
      <c r="D4" s="4">
        <f>'2020'!D4*'Bobot M'!$J4</f>
        <v>4.9428398956254647</v>
      </c>
      <c r="E4" s="4">
        <f>'2020'!E4*'Bobot M'!$J4</f>
        <v>0.21535624178678187</v>
      </c>
      <c r="F4" s="4">
        <f>'2020'!F4*'Bobot M'!$J4</f>
        <v>15505.398849943906</v>
      </c>
      <c r="G4" s="4">
        <f>'2020'!G4*'Bobot M'!$J4</f>
        <v>0.60361869693122028</v>
      </c>
      <c r="H4" s="4">
        <f>'2020'!H4*'Bobot M'!$J4</f>
        <v>3.7583805657981637</v>
      </c>
      <c r="I4" s="4">
        <f>'2020'!I4*'Bobot M'!$J4</f>
        <v>3.9457819108145462</v>
      </c>
      <c r="J4" s="4">
        <f>'2020'!J4*'Bobot M'!$J4</f>
        <v>30126.785176150202</v>
      </c>
      <c r="K4" s="4">
        <f>'2020'!K4*'Bobot M'!$J4</f>
        <v>0.11285495362865011</v>
      </c>
      <c r="L4" s="4">
        <f>'2020'!L4*'Bobot M'!$J4</f>
        <v>0.48092776110557772</v>
      </c>
      <c r="M4" s="4">
        <f>'2020'!M4*'Bobot M'!$J4</f>
        <v>3.208600929313639</v>
      </c>
      <c r="N4" s="4">
        <f>'2020'!N4*'Bobot M'!$J4</f>
        <v>1.879190282899082E-2</v>
      </c>
      <c r="Q4" s="7">
        <f>S2</f>
        <v>0.80419513470353854</v>
      </c>
      <c r="R4" s="7">
        <f>S3</f>
        <v>0.83548087434721541</v>
      </c>
      <c r="S4" s="7">
        <f>CORREL(E$2:E$42,E$2:E$42)</f>
        <v>1</v>
      </c>
      <c r="T4" s="7">
        <f>CORREL(E$2:E$42,F$2:F$42)</f>
        <v>0.35769728566560693</v>
      </c>
      <c r="U4" s="7">
        <f>CORREL(E$2:E$42,G$2:G$42)</f>
        <v>0.71760498238704762</v>
      </c>
      <c r="V4" s="7">
        <f>CORREL(E$2:E$42,H$2:H$42)</f>
        <v>0.85154281121443842</v>
      </c>
      <c r="W4" s="7">
        <f>CORREL(E$2:E$42,I$2:I$42)</f>
        <v>0.85287114011695109</v>
      </c>
      <c r="X4" s="7">
        <f>CORREL(E$2:E$42,J$2:J$42)</f>
        <v>0.66064627582278179</v>
      </c>
      <c r="Y4" s="7">
        <f>CORREL(E$2:E$42,K$2:K$42)</f>
        <v>0.94897572117529094</v>
      </c>
      <c r="Z4" s="7">
        <f>CORREL(E$2:E$42,L$2:L$42)</f>
        <v>0.83052658946651203</v>
      </c>
      <c r="AA4" s="7">
        <f>CORREL(E$2:E$42,M$2:M$42)</f>
        <v>0.87039661042014282</v>
      </c>
      <c r="AB4" s="7">
        <f>CORREL(E$2:E$42,N$2:N$42)</f>
        <v>0.83714679538009285</v>
      </c>
    </row>
    <row r="5" spans="1:28" ht="15" x14ac:dyDescent="0.25">
      <c r="A5" s="3" t="s">
        <v>14</v>
      </c>
      <c r="B5" s="3" t="s">
        <v>18</v>
      </c>
      <c r="C5" s="4">
        <f>'2020'!C5*'Bobot M'!$J5</f>
        <v>1.4412270489076731</v>
      </c>
      <c r="D5" s="4">
        <f>'2020'!D5*'Bobot M'!$J5</f>
        <v>1.6999360694819585</v>
      </c>
      <c r="E5" s="4">
        <f>'2020'!E5*'Bobot M'!$J5</f>
        <v>7.9861579930871174E-2</v>
      </c>
      <c r="F5" s="4">
        <f>'2020'!F5*'Bobot M'!$J5</f>
        <v>7959.9177090879248</v>
      </c>
      <c r="G5" s="4">
        <f>'2020'!G5*'Bobot M'!$J5</f>
        <v>0.20151325490317384</v>
      </c>
      <c r="H5" s="4">
        <f>'2020'!H5*'Bobot M'!$J5</f>
        <v>1.2788477389373649</v>
      </c>
      <c r="I5" s="4">
        <f>'2020'!I5*'Bobot M'!$J5</f>
        <v>1.3443661082819822</v>
      </c>
      <c r="J5" s="4">
        <f>'2020'!J5*'Bobot M'!$J5</f>
        <v>11905.360601277773</v>
      </c>
      <c r="K5" s="4">
        <f>'2020'!K5*'Bobot M'!$J5</f>
        <v>3.4884104759161025E-2</v>
      </c>
      <c r="L5" s="4">
        <f>'2020'!L5*'Bobot M'!$J5</f>
        <v>0.19425311127309464</v>
      </c>
      <c r="M5" s="4">
        <f>'2020'!M5*'Bobot M'!$J5</f>
        <v>1.1285096427925543</v>
      </c>
      <c r="N5" s="4">
        <f>'2020'!N5*'Bobot M'!$J5</f>
        <v>6.9059902822704569E-3</v>
      </c>
      <c r="Q5" s="7">
        <f>T2</f>
        <v>0.74424211421676689</v>
      </c>
      <c r="R5" s="7">
        <f>T3</f>
        <v>0.71514329607124194</v>
      </c>
      <c r="S5" s="7">
        <f>T4</f>
        <v>0.35769728566560693</v>
      </c>
      <c r="T5" s="7">
        <f>CORREL(F$2:F$42,F$2:F$42)</f>
        <v>1.0000000000000002</v>
      </c>
      <c r="U5" s="7">
        <f>CORREL(F$2:F$42,G$2:G$42)</f>
        <v>0.79056414135073583</v>
      </c>
      <c r="V5" s="7">
        <f>CORREL(F$2:F$42,H$2:H$42)</f>
        <v>0.69601471731996178</v>
      </c>
      <c r="W5" s="7">
        <f>CORREL(F$2:F$42,I$2:I$42)</f>
        <v>0.69513411876964148</v>
      </c>
      <c r="X5" s="7">
        <f>CORREL(F$2:F$42,J$2:J$42)</f>
        <v>0.81921085353215384</v>
      </c>
      <c r="Y5" s="7">
        <f>CORREL(F$2:F$42,K$2:K$42)</f>
        <v>0.3629817270937159</v>
      </c>
      <c r="Z5" s="7">
        <f>CORREL(F$2:F$42,L$2:L$42)</f>
        <v>0.70979329990707518</v>
      </c>
      <c r="AA5" s="7">
        <f>CORREL(F$2:F$42,M$2:M$42)</f>
        <v>0.67832810509657215</v>
      </c>
      <c r="AB5" s="7">
        <f>CORREL(F$2:F$42,N$2:N$42)</f>
        <v>0.71761133515636144</v>
      </c>
    </row>
    <row r="6" spans="1:28" ht="15" x14ac:dyDescent="0.25">
      <c r="A6" s="3" t="s">
        <v>14</v>
      </c>
      <c r="B6" s="3" t="s">
        <v>19</v>
      </c>
      <c r="C6" s="4">
        <f>'2020'!C6*'Bobot M'!$J6</f>
        <v>3.366043464974712</v>
      </c>
      <c r="D6" s="4">
        <f>'2020'!D6*'Bobot M'!$J6</f>
        <v>3.936012486200462</v>
      </c>
      <c r="E6" s="4">
        <f>'2020'!E6*'Bobot M'!$J6</f>
        <v>0.17578870393392143</v>
      </c>
      <c r="F6" s="4">
        <f>'2020'!F6*'Bobot M'!$J6</f>
        <v>13077.546666189461</v>
      </c>
      <c r="G6" s="4">
        <f>'2020'!G6*'Bobot M'!$J6</f>
        <v>0.43967857007472588</v>
      </c>
      <c r="H6" s="4">
        <f>'2020'!H6*'Bobot M'!$J6</f>
        <v>2.9664860814449048</v>
      </c>
      <c r="I6" s="4">
        <f>'2020'!I6*'Bobot M'!$J6</f>
        <v>3.1199392794672223</v>
      </c>
      <c r="J6" s="4">
        <f>'2020'!J6*'Bobot M'!$J6</f>
        <v>23071.874451871336</v>
      </c>
      <c r="K6" s="4">
        <f>'2020'!K6*'Bobot M'!$J6</f>
        <v>7.362444541232474E-2</v>
      </c>
      <c r="L6" s="4">
        <f>'2020'!L6*'Bobot M'!$J6</f>
        <v>0.50751232876922725</v>
      </c>
      <c r="M6" s="4">
        <f>'2020'!M6*'Bobot M'!$J6</f>
        <v>2.6624750287591818</v>
      </c>
      <c r="N6" s="4">
        <f>'2020'!N6*'Bobot M'!$J6</f>
        <v>1.5717578234091797E-2</v>
      </c>
      <c r="Q6" s="7">
        <f>U2</f>
        <v>0.98878505775086745</v>
      </c>
      <c r="R6" s="7">
        <f>U3</f>
        <v>0.97679059631281973</v>
      </c>
      <c r="S6" s="7">
        <f>U4</f>
        <v>0.71760498238704762</v>
      </c>
      <c r="T6" s="7">
        <f>U5</f>
        <v>0.79056414135073583</v>
      </c>
      <c r="U6" s="7">
        <f>CORREL(G$2:G$42,G$2:G$42)</f>
        <v>1</v>
      </c>
      <c r="V6" s="7">
        <f>CORREL(G$2:G$42,H$2:H$42)</f>
        <v>0.97118772275482579</v>
      </c>
      <c r="W6" s="7">
        <f>CORREL(G$2:G$42,I$2:I$42)</f>
        <v>0.97055601530643087</v>
      </c>
      <c r="X6" s="7">
        <f>CORREL(G$2:G$42,J$2:J$42)</f>
        <v>0.97738753579243998</v>
      </c>
      <c r="Y6" s="7">
        <f>CORREL(G$2:G$42,K$2:K$42)</f>
        <v>0.73649492387682669</v>
      </c>
      <c r="Z6" s="7">
        <f>CORREL(G$2:G$42,L$2:L$42)</f>
        <v>0.93025501286397005</v>
      </c>
      <c r="AA6" s="7">
        <f>CORREL(G$2:G$42,M$2:M$42)</f>
        <v>0.95943608934585778</v>
      </c>
      <c r="AB6" s="7">
        <f>CORREL(G$2:G$42,N$2:N$42)</f>
        <v>0.97217700710097621</v>
      </c>
    </row>
    <row r="7" spans="1:28" ht="15" x14ac:dyDescent="0.25">
      <c r="A7" s="3" t="s">
        <v>14</v>
      </c>
      <c r="B7" s="3" t="s">
        <v>20</v>
      </c>
      <c r="C7" s="4">
        <f>'2020'!C7*'Bobot M'!$J7</f>
        <v>2.4188443939688438</v>
      </c>
      <c r="D7" s="4">
        <f>'2020'!D7*'Bobot M'!$J7</f>
        <v>2.8177172271504043</v>
      </c>
      <c r="E7" s="4">
        <f>'2020'!E7*'Bobot M'!$J7</f>
        <v>0.20425663209750605</v>
      </c>
      <c r="F7" s="4">
        <f>'2020'!F7*'Bobot M'!$J7</f>
        <v>9402.4503460882388</v>
      </c>
      <c r="G7" s="4">
        <f>'2020'!G7*'Bobot M'!$J7</f>
        <v>0.32536454670399195</v>
      </c>
      <c r="H7" s="4">
        <f>'2020'!H7*'Bobot M'!$J7</f>
        <v>2.1498161159997093</v>
      </c>
      <c r="I7" s="4">
        <f>'2020'!I7*'Bobot M'!$J7</f>
        <v>2.2633924438769362</v>
      </c>
      <c r="J7" s="4">
        <f>'2020'!J7*'Bobot M'!$J7</f>
        <v>17902.280391979646</v>
      </c>
      <c r="K7" s="4">
        <f>'2020'!K7*'Bobot M'!$J7</f>
        <v>6.5675436279139118E-2</v>
      </c>
      <c r="L7" s="4">
        <f>'2020'!L7*'Bobot M'!$J7</f>
        <v>0.35518963015185784</v>
      </c>
      <c r="M7" s="4">
        <f>'2020'!M7*'Bobot M'!$J7</f>
        <v>1.987435106116884</v>
      </c>
      <c r="N7" s="4">
        <f>'2020'!N7*'Bobot M'!$J7</f>
        <v>1.2442181276735987E-2</v>
      </c>
      <c r="Q7" s="7">
        <f>V2</f>
        <v>0.99530688882266383</v>
      </c>
      <c r="R7" s="7">
        <f>V3</f>
        <v>0.99855774238715578</v>
      </c>
      <c r="S7" s="7">
        <f>V4</f>
        <v>0.85154281121443842</v>
      </c>
      <c r="T7" s="7">
        <f>V5</f>
        <v>0.69601471731996178</v>
      </c>
      <c r="U7" s="7">
        <f>V6</f>
        <v>0.97118772275482579</v>
      </c>
      <c r="V7" s="7">
        <f>CORREL(H$2:H$42,H$2:H$42)</f>
        <v>1.0000000000000002</v>
      </c>
      <c r="W7" s="7">
        <f>CORREL(H$2:H$42,I$2:I$42)</f>
        <v>0.9999934552676677</v>
      </c>
      <c r="X7" s="7">
        <f>CORREL(H$2:H$42,J$2:J$42)</f>
        <v>0.9353268252844299</v>
      </c>
      <c r="Y7" s="7">
        <f>CORREL(H$2:H$42,K$2:K$42)</f>
        <v>0.86319062905921273</v>
      </c>
      <c r="Z7" s="7">
        <f>CORREL(H$2:H$42,L$2:L$42)</f>
        <v>0.96292381831464235</v>
      </c>
      <c r="AA7" s="7">
        <f>CORREL(H$2:H$42,M$2:M$42)</f>
        <v>0.99719636825895885</v>
      </c>
      <c r="AB7" s="7">
        <f>CORREL(H$2:H$42,N$2:N$42)</f>
        <v>0.99427928594989368</v>
      </c>
    </row>
    <row r="8" spans="1:28" ht="15" x14ac:dyDescent="0.25">
      <c r="A8" s="3" t="s">
        <v>21</v>
      </c>
      <c r="B8" s="3" t="s">
        <v>22</v>
      </c>
      <c r="C8" s="4">
        <f>'2020'!C8*'Bobot M'!$J8</f>
        <v>6.5081970656469394</v>
      </c>
      <c r="D8" s="4">
        <f>'2020'!D8*'Bobot M'!$J8</f>
        <v>8.2489548887454038</v>
      </c>
      <c r="E8" s="4">
        <f>'2020'!E8*'Bobot M'!$J8</f>
        <v>0.71090959424467282</v>
      </c>
      <c r="F8" s="4">
        <f>'2020'!F8*'Bobot M'!$J8</f>
        <v>14247.18294454952</v>
      </c>
      <c r="G8" s="4">
        <f>'2020'!G8*'Bobot M'!$J8</f>
        <v>0.76730164268280687</v>
      </c>
      <c r="H8" s="4">
        <f>'2020'!H8*'Bobot M'!$J8</f>
        <v>6.4009597276334382</v>
      </c>
      <c r="I8" s="4">
        <f>'2020'!I8*'Bobot M'!$J8</f>
        <v>6.7541033752296222</v>
      </c>
      <c r="J8" s="4">
        <f>'2020'!J8*'Bobot M'!$J8</f>
        <v>37244.359505918212</v>
      </c>
      <c r="K8" s="4">
        <f>'2020'!K8*'Bobot M'!$J8</f>
        <v>0.37533068304725242</v>
      </c>
      <c r="L8" s="4">
        <f>'2020'!L8*'Bobot M'!$J8</f>
        <v>1.3210530691490732</v>
      </c>
      <c r="M8" s="4">
        <f>'2020'!M8*'Bobot M'!$J8</f>
        <v>5.7917407125394993</v>
      </c>
      <c r="N8" s="4">
        <f>'2020'!N8*'Bobot M'!$J8</f>
        <v>3.5221918778572212E-2</v>
      </c>
      <c r="Q8" s="7">
        <f>W2</f>
        <v>0.99506060064209634</v>
      </c>
      <c r="R8" s="7">
        <f>W3</f>
        <v>0.99849503039118048</v>
      </c>
      <c r="S8" s="7">
        <f>W4</f>
        <v>0.85287114011695109</v>
      </c>
      <c r="T8" s="7">
        <f>W5</f>
        <v>0.69513411876964148</v>
      </c>
      <c r="U8" s="7">
        <f>W6</f>
        <v>0.97055601530643087</v>
      </c>
      <c r="V8" s="7">
        <f>W7</f>
        <v>0.9999934552676677</v>
      </c>
      <c r="W8" s="7">
        <f>CORREL(I$2:I$42,I$2:I$42)</f>
        <v>1</v>
      </c>
      <c r="X8" s="7">
        <f>CORREL(I$2:I$42,J$2:J$42)</f>
        <v>0.93462309149864931</v>
      </c>
      <c r="Y8" s="7">
        <f>CORREL(I$2:I$42,K$2:K$42)</f>
        <v>0.86438155319508858</v>
      </c>
      <c r="Z8" s="7">
        <f>CORREL(I$2:I$42,L$2:L$42)</f>
        <v>0.96320590372975134</v>
      </c>
      <c r="AA8" s="7">
        <f>CORREL(I$2:I$42,M$2:M$42)</f>
        <v>0.99734477840612812</v>
      </c>
      <c r="AB8" s="7">
        <f>CORREL(I$2:I$42,N$2:N$42)</f>
        <v>0.99425802313837708</v>
      </c>
    </row>
    <row r="9" spans="1:28" ht="15" x14ac:dyDescent="0.25">
      <c r="A9" s="3" t="s">
        <v>21</v>
      </c>
      <c r="B9" s="3" t="s">
        <v>23</v>
      </c>
      <c r="C9" s="4">
        <f>'2020'!C9*'Bobot M'!$J9</f>
        <v>3.0896886103120815</v>
      </c>
      <c r="D9" s="4">
        <f>'2020'!D9*'Bobot M'!$J9</f>
        <v>4.0362753271974672</v>
      </c>
      <c r="E9" s="4">
        <f>'2020'!E9*'Bobot M'!$J9</f>
        <v>0.32754025489103861</v>
      </c>
      <c r="F9" s="4">
        <f>'2020'!F9*'Bobot M'!$J9</f>
        <v>2134.5682917506074</v>
      </c>
      <c r="G9" s="4">
        <f>'2020'!G9*'Bobot M'!$J9</f>
        <v>0.32661630494776345</v>
      </c>
      <c r="H9" s="4">
        <f>'2020'!H9*'Bobot M'!$J9</f>
        <v>3.1890132292141602</v>
      </c>
      <c r="I9" s="4">
        <f>'2020'!I9*'Bobot M'!$J9</f>
        <v>3.3664116183229877</v>
      </c>
      <c r="J9" s="4">
        <f>'2020'!J9*'Bobot M'!$J9</f>
        <v>15165.89915890687</v>
      </c>
      <c r="K9" s="4">
        <f>'2020'!K9*'Bobot M'!$J9</f>
        <v>0.22590576113077274</v>
      </c>
      <c r="L9" s="4">
        <f>'2020'!L9*'Bobot M'!$J9</f>
        <v>0.44349597277206915</v>
      </c>
      <c r="M9" s="4">
        <f>'2020'!M9*'Bobot M'!$J9</f>
        <v>2.8439179254008939</v>
      </c>
      <c r="N9" s="4">
        <f>'2020'!N9*'Bobot M'!$J9</f>
        <v>1.5429964052694908E-2</v>
      </c>
      <c r="Q9" s="7">
        <f>X2</f>
        <v>0.96085378176348912</v>
      </c>
      <c r="R9" s="4">
        <f>X3</f>
        <v>0.94157598606760218</v>
      </c>
      <c r="S9" s="7">
        <f>X4</f>
        <v>0.66064627582278179</v>
      </c>
      <c r="T9" s="7">
        <f>X5</f>
        <v>0.81921085353215384</v>
      </c>
      <c r="U9" s="7">
        <f>X6</f>
        <v>0.97738753579243998</v>
      </c>
      <c r="V9" s="7">
        <f>X7</f>
        <v>0.9353268252844299</v>
      </c>
      <c r="W9" s="7">
        <f>X8</f>
        <v>0.93462309149864931</v>
      </c>
      <c r="X9" s="7">
        <f>CORREL(J$2:J$42,J$2:J$42)</f>
        <v>0.99999999999999989</v>
      </c>
      <c r="Y9" s="7">
        <f>CORREL(J$2:J$42,K$2:K$42)</f>
        <v>0.64683112081242222</v>
      </c>
      <c r="Z9" s="7">
        <f>CORREL(J$2:J$42,L$2:L$42)</f>
        <v>0.89928600954499094</v>
      </c>
      <c r="AA9" s="7">
        <f>CORREL(J$2:J$42,M$2:M$42)</f>
        <v>0.92630609931876329</v>
      </c>
      <c r="AB9" s="7">
        <f>CORREL(J$2:J$42,N$2:N$42)</f>
        <v>0.92916172370681593</v>
      </c>
    </row>
    <row r="10" spans="1:28" ht="15" x14ac:dyDescent="0.25">
      <c r="A10" s="3" t="s">
        <v>21</v>
      </c>
      <c r="B10" s="3" t="s">
        <v>24</v>
      </c>
      <c r="C10" s="4">
        <f>'2020'!C10*'Bobot M'!$J10</f>
        <v>2.7522204107343051</v>
      </c>
      <c r="D10" s="4">
        <f>'2020'!D10*'Bobot M'!$J10</f>
        <v>3.5430205838308515</v>
      </c>
      <c r="E10" s="4">
        <f>'2020'!E10*'Bobot M'!$J10</f>
        <v>0.43624546290097005</v>
      </c>
      <c r="F10" s="4">
        <f>'2020'!F10*'Bobot M'!$J10</f>
        <v>1338.7312118818309</v>
      </c>
      <c r="G10" s="4">
        <f>'2020'!G10*'Bobot M'!$J10</f>
        <v>0.30234000228078811</v>
      </c>
      <c r="H10" s="4">
        <f>'2020'!H10*'Bobot M'!$J10</f>
        <v>2.8705456762508814</v>
      </c>
      <c r="I10" s="4">
        <f>'2020'!I10*'Bobot M'!$J10</f>
        <v>3.0330850089533663</v>
      </c>
      <c r="J10" s="4">
        <f>'2020'!J10*'Bobot M'!$J10</f>
        <v>15651.737675176417</v>
      </c>
      <c r="K10" s="4">
        <f>'2020'!K10*'Bobot M'!$J10</f>
        <v>0.20001601822196988</v>
      </c>
      <c r="L10" s="4">
        <f>'2020'!L10*'Bobot M'!$J10</f>
        <v>0.46530042133742466</v>
      </c>
      <c r="M10" s="4">
        <f>'2020'!M10*'Bobot M'!$J10</f>
        <v>2.9164440888533965</v>
      </c>
      <c r="N10" s="4">
        <f>'2020'!N10*'Bobot M'!$J10</f>
        <v>1.4738022395303042E-2</v>
      </c>
      <c r="Q10" s="7">
        <f>Y2</f>
        <v>0.81708880444348009</v>
      </c>
      <c r="R10" s="4">
        <f>Y3</f>
        <v>0.85288783580810568</v>
      </c>
      <c r="S10" s="7">
        <f>Y4</f>
        <v>0.94897572117529094</v>
      </c>
      <c r="T10" s="7">
        <f>Y5</f>
        <v>0.3629817270937159</v>
      </c>
      <c r="U10" s="7">
        <f>Y6</f>
        <v>0.73649492387682669</v>
      </c>
      <c r="V10" s="7">
        <f>Y7</f>
        <v>0.86319062905921273</v>
      </c>
      <c r="W10" s="7">
        <f>Y8</f>
        <v>0.86438155319508858</v>
      </c>
      <c r="X10" s="7">
        <f>Y9</f>
        <v>0.64683112081242222</v>
      </c>
      <c r="Y10" s="7">
        <f>CORREL(K$2:K$42,K$2:K$42)</f>
        <v>1</v>
      </c>
      <c r="Z10" s="7">
        <f>CORREL(K$2:K$42,L$2:L$42)</f>
        <v>0.82754680302486938</v>
      </c>
      <c r="AA10" s="7">
        <f>CORREL(K$2:K$42,M$2:M$42)</f>
        <v>0.87518736048505752</v>
      </c>
      <c r="AB10" s="7">
        <f>CORREL(K$2:K$42,N$2:N$42)</f>
        <v>0.86099427049524557</v>
      </c>
    </row>
    <row r="11" spans="1:28" ht="15" x14ac:dyDescent="0.25">
      <c r="A11" s="3" t="s">
        <v>21</v>
      </c>
      <c r="B11" s="3" t="s">
        <v>25</v>
      </c>
      <c r="C11" s="4">
        <f>'2020'!C11*'Bobot M'!$J11</f>
        <v>4.4431981417314592</v>
      </c>
      <c r="D11" s="4">
        <f>'2020'!D11*'Bobot M'!$J11</f>
        <v>5.7665211412580559</v>
      </c>
      <c r="E11" s="4">
        <f>'2020'!E11*'Bobot M'!$J11</f>
        <v>0.42412624892062972</v>
      </c>
      <c r="F11" s="4">
        <f>'2020'!F11*'Bobot M'!$J11</f>
        <v>4975.4102952196381</v>
      </c>
      <c r="G11" s="4">
        <f>'2020'!G11*'Bobot M'!$J11</f>
        <v>0.54995241538767625</v>
      </c>
      <c r="H11" s="4">
        <f>'2020'!H11*'Bobot M'!$J11</f>
        <v>4.3990055369235215</v>
      </c>
      <c r="I11" s="4">
        <f>'2020'!I11*'Bobot M'!$J11</f>
        <v>4.6242650642084291</v>
      </c>
      <c r="J11" s="4">
        <f>'2020'!J11*'Bobot M'!$J11</f>
        <v>22550.688311459642</v>
      </c>
      <c r="K11" s="4">
        <f>'2020'!K11*'Bobot M'!$J11</f>
        <v>0.31118959218923198</v>
      </c>
      <c r="L11" s="4">
        <f>'2020'!L11*'Bobot M'!$J11</f>
        <v>0.52662854062793096</v>
      </c>
      <c r="M11" s="4">
        <f>'2020'!M11*'Bobot M'!$J11</f>
        <v>3.8177500264635555</v>
      </c>
      <c r="N11" s="4">
        <f>'2020'!N11*'Bobot M'!$J11</f>
        <v>2.5410747764564499E-2</v>
      </c>
      <c r="Q11" s="7">
        <f>Z2</f>
        <v>0.95765212192936167</v>
      </c>
      <c r="R11" s="4">
        <f>Z3</f>
        <v>0.9612549193694373</v>
      </c>
      <c r="S11" s="7">
        <f>Z4</f>
        <v>0.83052658946651203</v>
      </c>
      <c r="T11" s="7">
        <f>Z5</f>
        <v>0.70979329990707518</v>
      </c>
      <c r="U11" s="7">
        <f>Z6</f>
        <v>0.93025501286397005</v>
      </c>
      <c r="V11" s="7">
        <f>Z7</f>
        <v>0.96292381831464235</v>
      </c>
      <c r="W11" s="7">
        <f>Z8</f>
        <v>0.96320590372975134</v>
      </c>
      <c r="X11" s="7">
        <f>Z9</f>
        <v>0.89928600954499094</v>
      </c>
      <c r="Y11" s="7">
        <f>Z10</f>
        <v>0.82754680302486938</v>
      </c>
      <c r="Z11" s="7">
        <f>CORREL(L$2:L$42,L$2:L$42)</f>
        <v>0.99999999999999978</v>
      </c>
      <c r="AA11" s="7">
        <f>CORREL(L$2:L$42,M$2:M$42)</f>
        <v>0.95923255779067662</v>
      </c>
      <c r="AB11" s="7">
        <f>CORREL(L$2:L$42,N$2:N$42)</f>
        <v>0.96502985385232953</v>
      </c>
    </row>
    <row r="12" spans="1:28" ht="15" x14ac:dyDescent="0.25">
      <c r="A12" s="3" t="s">
        <v>21</v>
      </c>
      <c r="B12" s="3" t="s">
        <v>26</v>
      </c>
      <c r="C12" s="4">
        <f>'2020'!C12*'Bobot M'!$J12</f>
        <v>2.9155296502143893</v>
      </c>
      <c r="D12" s="4">
        <f>'2020'!D12*'Bobot M'!$J12</f>
        <v>3.6285380356343331</v>
      </c>
      <c r="E12" s="4">
        <f>'2020'!E12*'Bobot M'!$J12</f>
        <v>0.44006330776073205</v>
      </c>
      <c r="F12" s="4">
        <f>'2020'!F12*'Bobot M'!$J12</f>
        <v>1701.9792364900875</v>
      </c>
      <c r="G12" s="4">
        <f>'2020'!G12*'Bobot M'!$J12</f>
        <v>0.33159078901409866</v>
      </c>
      <c r="H12" s="4">
        <f>'2020'!H12*'Bobot M'!$J12</f>
        <v>3.0641281819933135</v>
      </c>
      <c r="I12" s="4">
        <f>'2020'!I12*'Bobot M'!$J12</f>
        <v>3.232128302491148</v>
      </c>
      <c r="J12" s="4">
        <f>'2020'!J12*'Bobot M'!$J12</f>
        <v>13688.570448027893</v>
      </c>
      <c r="K12" s="4">
        <f>'2020'!K12*'Bobot M'!$J12</f>
        <v>0.17902375045176072</v>
      </c>
      <c r="L12" s="4">
        <f>'2020'!L12*'Bobot M'!$J12</f>
        <v>0.39464595235055627</v>
      </c>
      <c r="M12" s="4">
        <f>'2020'!M12*'Bobot M'!$J12</f>
        <v>2.6946161059377087</v>
      </c>
      <c r="N12" s="4">
        <f>'2020'!N12*'Bobot M'!$J12</f>
        <v>1.5521270975128024E-2</v>
      </c>
      <c r="Q12" s="7">
        <f>AA2</f>
        <v>0.98959601506517259</v>
      </c>
      <c r="R12" s="4">
        <f>AA3</f>
        <v>0.99542407225796148</v>
      </c>
      <c r="S12" s="7">
        <f>AA4</f>
        <v>0.87039661042014282</v>
      </c>
      <c r="T12" s="7">
        <f>AA5</f>
        <v>0.67832810509657215</v>
      </c>
      <c r="U12" s="7">
        <f>AA6</f>
        <v>0.95943608934585778</v>
      </c>
      <c r="V12" s="7">
        <f>AA7</f>
        <v>0.99719636825895885</v>
      </c>
      <c r="W12" s="7">
        <f>AA8</f>
        <v>0.99734477840612812</v>
      </c>
      <c r="X12" s="7">
        <f>AA9</f>
        <v>0.92630609931876329</v>
      </c>
      <c r="Y12" s="7">
        <f>AA10</f>
        <v>0.87518736048505752</v>
      </c>
      <c r="Z12" s="7">
        <f>AA11</f>
        <v>0.95923255779067662</v>
      </c>
      <c r="AA12" s="7">
        <f>CORREL(M$2:M$42,M$2:M$42)</f>
        <v>0.99999999999999989</v>
      </c>
      <c r="AB12" s="7">
        <f>CORREL(M$2:M$42,N$2:N$42)</f>
        <v>0.98945736889110592</v>
      </c>
    </row>
    <row r="13" spans="1:28" ht="15" x14ac:dyDescent="0.25">
      <c r="A13" s="3" t="s">
        <v>21</v>
      </c>
      <c r="B13" s="3" t="s">
        <v>27</v>
      </c>
      <c r="C13" s="4">
        <f>'2020'!C13*'Bobot M'!$J13</f>
        <v>2.0684957189624487</v>
      </c>
      <c r="D13" s="4">
        <f>'2020'!D13*'Bobot M'!$J13</f>
        <v>2.7094868546543296</v>
      </c>
      <c r="E13" s="4">
        <f>'2020'!E13*'Bobot M'!$J13</f>
        <v>0.32569279327046929</v>
      </c>
      <c r="F13" s="4">
        <f>'2020'!F13*'Bobot M'!$J13</f>
        <v>766.82257787026288</v>
      </c>
      <c r="G13" s="4">
        <f>'2020'!G13*'Bobot M'!$J13</f>
        <v>0.23151276891082681</v>
      </c>
      <c r="H13" s="4">
        <f>'2020'!H13*'Bobot M'!$J13</f>
        <v>2.1264526570299211</v>
      </c>
      <c r="I13" s="4">
        <f>'2020'!I13*'Bobot M'!$J13</f>
        <v>2.2486662003461126</v>
      </c>
      <c r="J13" s="4">
        <f>'2020'!J13*'Bobot M'!$J13</f>
        <v>10201.681033311374</v>
      </c>
      <c r="K13" s="4">
        <f>'2020'!K13*'Bobot M'!$J13</f>
        <v>0.17765061451116507</v>
      </c>
      <c r="L13" s="4">
        <f>'2020'!L13*'Bobot M'!$J13</f>
        <v>0.22426815165239281</v>
      </c>
      <c r="M13" s="4">
        <f>'2020'!M13*'Bobot M'!$J13</f>
        <v>2.1903942789195781</v>
      </c>
      <c r="N13" s="4">
        <f>'2020'!N13*'Bobot M'!$J13</f>
        <v>1.0803929215838587E-2</v>
      </c>
      <c r="Q13" s="7">
        <f>AB2</f>
        <v>0.99164693207141974</v>
      </c>
      <c r="R13" s="4">
        <f>AB3</f>
        <v>0.99509453179699214</v>
      </c>
      <c r="S13" s="7">
        <f>AB4</f>
        <v>0.83714679538009285</v>
      </c>
      <c r="T13" s="7">
        <f>AB5</f>
        <v>0.71761133515636144</v>
      </c>
      <c r="U13" s="7">
        <f>AB6</f>
        <v>0.97217700710097621</v>
      </c>
      <c r="V13" s="7">
        <f>AB7</f>
        <v>0.99427928594989368</v>
      </c>
      <c r="W13" s="7">
        <f>AB8</f>
        <v>0.99425802313837708</v>
      </c>
      <c r="X13" s="7">
        <f>AB9</f>
        <v>0.92916172370681593</v>
      </c>
      <c r="Y13" s="7">
        <f>AB10</f>
        <v>0.86099427049524557</v>
      </c>
      <c r="Z13" s="7">
        <f>AB11</f>
        <v>0.96502985385232953</v>
      </c>
      <c r="AA13" s="7">
        <f>AB12</f>
        <v>0.98945736889110592</v>
      </c>
      <c r="AB13" s="7">
        <f>CORREL(N$2:N$42,N$2:N$42)</f>
        <v>0.99999999999999978</v>
      </c>
    </row>
    <row r="14" spans="1:28" ht="15" x14ac:dyDescent="0.25">
      <c r="A14" s="3" t="s">
        <v>21</v>
      </c>
      <c r="B14" s="3" t="s">
        <v>28</v>
      </c>
      <c r="C14" s="4">
        <f>'2020'!C14*'Bobot M'!$J14</f>
        <v>1.4589769112879087</v>
      </c>
      <c r="D14" s="4">
        <f>'2020'!D14*'Bobot M'!$J14</f>
        <v>1.7926229293040969</v>
      </c>
      <c r="E14" s="4">
        <f>'2020'!E14*'Bobot M'!$J14</f>
        <v>0.15771604573718068</v>
      </c>
      <c r="F14" s="4">
        <f>'2020'!F14*'Bobot M'!$J14</f>
        <v>454.73572026569707</v>
      </c>
      <c r="G14" s="4">
        <f>'2020'!G14*'Bobot M'!$J14</f>
        <v>0.1593718572409831</v>
      </c>
      <c r="H14" s="4">
        <f>'2020'!H14*'Bobot M'!$J14</f>
        <v>1.4471792543233166</v>
      </c>
      <c r="I14" s="4">
        <f>'2020'!I14*'Bobot M'!$J14</f>
        <v>1.5258303007539318</v>
      </c>
      <c r="J14" s="4">
        <f>'2020'!J14*'Bobot M'!$J14</f>
        <v>7825.9447009965761</v>
      </c>
      <c r="K14" s="4">
        <f>'2020'!K14*'Bobot M'!$J14</f>
        <v>0.1057649598053797</v>
      </c>
      <c r="L14" s="4">
        <f>'2020'!L14*'Bobot M'!$J14</f>
        <v>0.11714866389402134</v>
      </c>
      <c r="M14" s="4">
        <f>'2020'!M14*'Bobot M'!$J14</f>
        <v>1.4780187435816368</v>
      </c>
      <c r="N14" s="4">
        <f>'2020'!N14*'Bobot M'!$J14</f>
        <v>6.9544083159701724E-3</v>
      </c>
      <c r="Q14" s="7">
        <f>SUMSQ(Q2:AB13) - 12</f>
        <v>103.80473005526957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" x14ac:dyDescent="0.25">
      <c r="A15" s="3" t="s">
        <v>21</v>
      </c>
      <c r="B15" s="3" t="s">
        <v>29</v>
      </c>
      <c r="C15" s="4">
        <f>'2020'!C15*'Bobot M'!$J15</f>
        <v>1.3732178363889065</v>
      </c>
      <c r="D15" s="4">
        <f>'2020'!D15*'Bobot M'!$J15</f>
        <v>1.7182046753664022</v>
      </c>
      <c r="E15" s="4">
        <f>'2020'!E15*'Bobot M'!$J15</f>
        <v>0.25374247135349931</v>
      </c>
      <c r="F15" s="4">
        <f>'2020'!F15*'Bobot M'!$J15</f>
        <v>334.15547938127952</v>
      </c>
      <c r="G15" s="4">
        <f>'2020'!G15*'Bobot M'!$J15</f>
        <v>0.14983077286630186</v>
      </c>
      <c r="H15" s="4">
        <f>'2020'!H15*'Bobot M'!$J15</f>
        <v>1.419532764857486</v>
      </c>
      <c r="I15" s="4">
        <f>'2020'!I15*'Bobot M'!$J15</f>
        <v>1.4927657714103681</v>
      </c>
      <c r="J15" s="4">
        <f>'2020'!J15*'Bobot M'!$J15</f>
        <v>6974.1177629622707</v>
      </c>
      <c r="K15" s="4">
        <f>'2020'!K15*'Bobot M'!$J15</f>
        <v>6.947239270286916E-2</v>
      </c>
      <c r="L15" s="4">
        <f>'2020'!L15*'Bobot M'!$J15</f>
        <v>0.22207414419549629</v>
      </c>
      <c r="M15" s="4">
        <f>'2020'!M15*'Bobot M'!$J15</f>
        <v>1.2267518232831425</v>
      </c>
      <c r="N15" s="4">
        <f>'2020'!N15*'Bobot M'!$J15</f>
        <v>7.1451663150244342E-3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" x14ac:dyDescent="0.25">
      <c r="A16" s="3" t="s">
        <v>21</v>
      </c>
      <c r="B16" s="3" t="s">
        <v>30</v>
      </c>
      <c r="C16" s="4">
        <f>'2020'!C16*'Bobot M'!$J16</f>
        <v>2.6676827315047955</v>
      </c>
      <c r="D16" s="4">
        <f>'2020'!D16*'Bobot M'!$J16</f>
        <v>3.2388578559811676</v>
      </c>
      <c r="E16" s="4">
        <f>'2020'!E16*'Bobot M'!$J16</f>
        <v>0.43614187493983853</v>
      </c>
      <c r="F16" s="4">
        <f>'2020'!F16*'Bobot M'!$J16</f>
        <v>1292.2856592606879</v>
      </c>
      <c r="G16" s="4">
        <f>'2020'!G16*'Bobot M'!$J16</f>
        <v>0.26851439275655542</v>
      </c>
      <c r="H16" s="4">
        <f>'2020'!H16*'Bobot M'!$J16</f>
        <v>2.7192902665288154</v>
      </c>
      <c r="I16" s="4">
        <f>'2020'!I16*'Bobot M'!$J16</f>
        <v>2.8663523400183162</v>
      </c>
      <c r="J16" s="4">
        <f>'2020'!J16*'Bobot M'!$J16</f>
        <v>15266.983361105815</v>
      </c>
      <c r="K16" s="4">
        <f>'2020'!K16*'Bobot M'!$J16</f>
        <v>0.2099223793082319</v>
      </c>
      <c r="L16" s="4">
        <f>'2020'!L16*'Bobot M'!$J16</f>
        <v>0.44700661915542167</v>
      </c>
      <c r="M16" s="4">
        <f>'2020'!M16*'Bobot M'!$J16</f>
        <v>2.4752215482573221</v>
      </c>
      <c r="N16" s="4">
        <f>'2020'!N16*'Bobot M'!$J16</f>
        <v>1.3115298374525394E-2</v>
      </c>
      <c r="Q16" s="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" x14ac:dyDescent="0.25">
      <c r="A17" s="3" t="s">
        <v>21</v>
      </c>
      <c r="B17" s="3" t="s">
        <v>31</v>
      </c>
      <c r="C17" s="4">
        <f>'2020'!C17*'Bobot M'!$J17</f>
        <v>1.4941190731510938</v>
      </c>
      <c r="D17" s="4">
        <f>'2020'!D17*'Bobot M'!$J17</f>
        <v>1.899094090463241</v>
      </c>
      <c r="E17" s="4">
        <f>'2020'!E17*'Bobot M'!$J17</f>
        <v>0.25266727335577749</v>
      </c>
      <c r="F17" s="4">
        <f>'2020'!F17*'Bobot M'!$J17</f>
        <v>480.89766447149572</v>
      </c>
      <c r="G17" s="4">
        <f>'2020'!G17*'Bobot M'!$J17</f>
        <v>0.16070788077834666</v>
      </c>
      <c r="H17" s="4">
        <f>'2020'!H17*'Bobot M'!$J17</f>
        <v>1.5100351218664183</v>
      </c>
      <c r="I17" s="4">
        <f>'2020'!I17*'Bobot M'!$J17</f>
        <v>1.5955838837112879</v>
      </c>
      <c r="J17" s="4">
        <f>'2020'!J17*'Bobot M'!$J17</f>
        <v>10018.290546991402</v>
      </c>
      <c r="K17" s="4">
        <f>'2020'!K17*'Bobot M'!$J17</f>
        <v>9.2180448809588117E-2</v>
      </c>
      <c r="L17" s="4">
        <f>'2020'!L17*'Bobot M'!$J17</f>
        <v>0.12909683957985482</v>
      </c>
      <c r="M17" s="4">
        <f>'2020'!M17*'Bobot M'!$J17</f>
        <v>1.5398777132076518</v>
      </c>
      <c r="N17" s="4">
        <f>'2020'!N17*'Bobot M'!$J17</f>
        <v>7.4274894004847979E-3</v>
      </c>
      <c r="Q17" s="7" t="s">
        <v>82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" x14ac:dyDescent="0.25">
      <c r="A18" s="3" t="s">
        <v>21</v>
      </c>
      <c r="B18" s="3" t="s">
        <v>32</v>
      </c>
      <c r="C18" s="4">
        <f>'2020'!C18*'Bobot M'!$J18</f>
        <v>1.3940195863404758</v>
      </c>
      <c r="D18" s="4">
        <f>'2020'!D18*'Bobot M'!$J18</f>
        <v>1.8520768317683767</v>
      </c>
      <c r="E18" s="4">
        <f>'2020'!E18*'Bobot M'!$J18</f>
        <v>0.19964602115931437</v>
      </c>
      <c r="F18" s="4">
        <f>'2020'!F18*'Bobot M'!$J18</f>
        <v>460.48977458044698</v>
      </c>
      <c r="G18" s="4">
        <f>'2020'!G18*'Bobot M'!$J18</f>
        <v>0.16559333723837869</v>
      </c>
      <c r="H18" s="4">
        <f>'2020'!H18*'Bobot M'!$J18</f>
        <v>1.3722258686310769</v>
      </c>
      <c r="I18" s="4">
        <f>'2020'!I18*'Bobot M'!$J18</f>
        <v>1.4457796659002982</v>
      </c>
      <c r="J18" s="4">
        <f>'2020'!J18*'Bobot M'!$J18</f>
        <v>6870.7030120063</v>
      </c>
      <c r="K18" s="4">
        <f>'2020'!K18*'Bobot M'!$J18</f>
        <v>7.8029292870258352E-2</v>
      </c>
      <c r="L18" s="4">
        <f>'2020'!L18*'Bobot M'!$J18</f>
        <v>0.19244631084460229</v>
      </c>
      <c r="M18" s="4">
        <f>'2020'!M18*'Bobot M'!$J18</f>
        <v>1.3418703332501285</v>
      </c>
      <c r="N18" s="4">
        <f>'2020'!N18*'Bobot M'!$J18</f>
        <v>7.4721317860796032E-3</v>
      </c>
      <c r="Q18" s="7" cm="1">
        <f t="array" ref="Q18:AB29">MINVERSE(Q2:AB13)</f>
        <v>3530.8840072073958</v>
      </c>
      <c r="R18" s="7">
        <v>-732.93107365909657</v>
      </c>
      <c r="S18" s="7">
        <v>2.4790203116149545E-2</v>
      </c>
      <c r="T18" s="7">
        <v>-62.813707847601499</v>
      </c>
      <c r="U18" s="7">
        <v>-976.00943780785565</v>
      </c>
      <c r="V18" s="7">
        <v>-10932.931643005175</v>
      </c>
      <c r="W18" s="7">
        <v>9458.4514715106106</v>
      </c>
      <c r="X18" s="7">
        <v>-216.58349427780186</v>
      </c>
      <c r="Y18" s="7">
        <v>-63.679156718437277</v>
      </c>
      <c r="Z18" s="7">
        <v>-70.550262058270476</v>
      </c>
      <c r="AA18" s="7">
        <v>-224.97710785971665</v>
      </c>
      <c r="AB18" s="7">
        <v>234.85747377381418</v>
      </c>
    </row>
    <row r="19" spans="1:28" ht="15" x14ac:dyDescent="0.25">
      <c r="A19" s="3" t="s">
        <v>21</v>
      </c>
      <c r="B19" s="3" t="s">
        <v>33</v>
      </c>
      <c r="C19" s="4">
        <f>'2020'!C19*'Bobot M'!$J19</f>
        <v>2.0981421076823867</v>
      </c>
      <c r="D19" s="4">
        <f>'2020'!D19*'Bobot M'!$J19</f>
        <v>2.7485692791232337</v>
      </c>
      <c r="E19" s="4">
        <f>'2020'!E19*'Bobot M'!$J19</f>
        <v>0.3959935319893938</v>
      </c>
      <c r="F19" s="4">
        <f>'2020'!F19*'Bobot M'!$J19</f>
        <v>1845.8911097458356</v>
      </c>
      <c r="G19" s="4">
        <f>'2020'!G19*'Bobot M'!$J19</f>
        <v>0.19643773634119535</v>
      </c>
      <c r="H19" s="4">
        <f>'2020'!H19*'Bobot M'!$J19</f>
        <v>2.1739109488425616</v>
      </c>
      <c r="I19" s="4">
        <f>'2020'!I19*'Bobot M'!$J19</f>
        <v>2.2923972025086794</v>
      </c>
      <c r="J19" s="4">
        <f>'2020'!J19*'Bobot M'!$J19</f>
        <v>14804.763853802213</v>
      </c>
      <c r="K19" s="4">
        <f>'2020'!K19*'Bobot M'!$J19</f>
        <v>0.13345293833973274</v>
      </c>
      <c r="L19" s="4">
        <f>'2020'!L19*'Bobot M'!$J19</f>
        <v>0.28717326217498562</v>
      </c>
      <c r="M19" s="4">
        <f>'2020'!M19*'Bobot M'!$J19</f>
        <v>2.1679866361592559</v>
      </c>
      <c r="N19" s="4">
        <f>'2020'!N19*'Bobot M'!$J19</f>
        <v>9.9466091893398913E-3</v>
      </c>
      <c r="Q19" s="7">
        <v>-732.93107365909441</v>
      </c>
      <c r="R19" s="7">
        <v>925.40058352596384</v>
      </c>
      <c r="S19" s="7">
        <v>41.08844999787415</v>
      </c>
      <c r="T19" s="7">
        <v>-3.2805759397423162</v>
      </c>
      <c r="U19" s="7">
        <v>106.92117410055361</v>
      </c>
      <c r="V19" s="7">
        <v>1104.7346059567615</v>
      </c>
      <c r="W19" s="7">
        <v>-1184.2401313749701</v>
      </c>
      <c r="X19" s="7">
        <v>41.28870751679564</v>
      </c>
      <c r="Y19" s="7">
        <v>-40.549639465347035</v>
      </c>
      <c r="Z19" s="7">
        <v>10.363196867470286</v>
      </c>
      <c r="AA19" s="7">
        <v>-168.90995398886915</v>
      </c>
      <c r="AB19" s="7">
        <v>-97.338360903685526</v>
      </c>
    </row>
    <row r="20" spans="1:28" ht="15" x14ac:dyDescent="0.25">
      <c r="A20" s="3" t="s">
        <v>21</v>
      </c>
      <c r="B20" s="3" t="s">
        <v>34</v>
      </c>
      <c r="C20" s="4">
        <f>'2020'!C20*'Bobot M'!$J20</f>
        <v>1.877054183832638</v>
      </c>
      <c r="D20" s="4">
        <f>'2020'!D20*'Bobot M'!$J20</f>
        <v>2.4645353917674941</v>
      </c>
      <c r="E20" s="4">
        <f>'2020'!E20*'Bobot M'!$J20</f>
        <v>0.25344995578653895</v>
      </c>
      <c r="F20" s="4">
        <f>'2020'!F20*'Bobot M'!$J20</f>
        <v>771.62907097739105</v>
      </c>
      <c r="G20" s="4">
        <f>'2020'!G20*'Bobot M'!$J20</f>
        <v>0.19328621762453557</v>
      </c>
      <c r="H20" s="4">
        <f>'2020'!H20*'Bobot M'!$J20</f>
        <v>1.9181615343415179</v>
      </c>
      <c r="I20" s="4">
        <f>'2020'!I20*'Bobot M'!$J20</f>
        <v>2.0205215594497226</v>
      </c>
      <c r="J20" s="4">
        <f>'2020'!J20*'Bobot M'!$J20</f>
        <v>9579.509956170381</v>
      </c>
      <c r="K20" s="4">
        <f>'2020'!K20*'Bobot M'!$J20</f>
        <v>0.13094460658788959</v>
      </c>
      <c r="L20" s="4">
        <f>'2020'!L20*'Bobot M'!$J20</f>
        <v>0.25807793564515458</v>
      </c>
      <c r="M20" s="4">
        <f>'2020'!M20*'Bobot M'!$J20</f>
        <v>1.8158015092333133</v>
      </c>
      <c r="N20" s="4">
        <f>'2020'!N20*'Bobot M'!$J20</f>
        <v>9.5281938265616133E-3</v>
      </c>
      <c r="Q20" s="7">
        <v>2.4790203115061998E-2</v>
      </c>
      <c r="R20" s="7">
        <v>41.088449997874278</v>
      </c>
      <c r="S20" s="7">
        <v>20.897993722249577</v>
      </c>
      <c r="T20" s="7">
        <v>0.34000765104978298</v>
      </c>
      <c r="U20" s="7">
        <v>16.706166523547608</v>
      </c>
      <c r="V20" s="7">
        <v>72.742797582264984</v>
      </c>
      <c r="W20" s="7">
        <v>-105.09122533760841</v>
      </c>
      <c r="X20" s="7">
        <v>-2.7761907007776667</v>
      </c>
      <c r="Y20" s="7">
        <v>-8.7517626544049705</v>
      </c>
      <c r="Z20" s="7">
        <v>-2.0847418556221995</v>
      </c>
      <c r="AA20" s="7">
        <v>-28.052898154549109</v>
      </c>
      <c r="AB20" s="7">
        <v>-2.8466381513048051</v>
      </c>
    </row>
    <row r="21" spans="1:28" ht="15" x14ac:dyDescent="0.25">
      <c r="A21" s="3" t="s">
        <v>21</v>
      </c>
      <c r="B21" s="3" t="s">
        <v>35</v>
      </c>
      <c r="C21" s="4">
        <f>'2020'!C21*'Bobot M'!$J21</f>
        <v>1.206106837343043</v>
      </c>
      <c r="D21" s="4">
        <f>'2020'!D21*'Bobot M'!$J21</f>
        <v>1.4741684247446176</v>
      </c>
      <c r="E21" s="4">
        <f>'2020'!E21*'Bobot M'!$J21</f>
        <v>0.14084303226245362</v>
      </c>
      <c r="F21" s="4">
        <f>'2020'!F21*'Bobot M'!$J21</f>
        <v>771.37089027703212</v>
      </c>
      <c r="G21" s="4">
        <f>'2020'!G21*'Bobot M'!$J21</f>
        <v>0.13777752490970374</v>
      </c>
      <c r="H21" s="4">
        <f>'2020'!H21*'Bobot M'!$J21</f>
        <v>1.1759626817076692</v>
      </c>
      <c r="I21" s="4">
        <f>'2020'!I21*'Bobot M'!$J21</f>
        <v>1.241360171899667</v>
      </c>
      <c r="J21" s="4">
        <f>'2020'!J21*'Bobot M'!$J21</f>
        <v>6442.4532219427811</v>
      </c>
      <c r="K21" s="4">
        <f>'2020'!K21*'Bobot M'!$J21</f>
        <v>6.9484833328997686E-2</v>
      </c>
      <c r="L21" s="4">
        <f>'2020'!L21*'Bobot M'!$J21</f>
        <v>0.18852870219411871</v>
      </c>
      <c r="M21" s="4">
        <f>'2020'!M21*'Bobot M'!$J21</f>
        <v>1.0373336269777571</v>
      </c>
      <c r="N21" s="4">
        <f>'2020'!N21*'Bobot M'!$J21</f>
        <v>7.0506669113247645E-3</v>
      </c>
      <c r="Q21" s="7">
        <v>-62.813707847601904</v>
      </c>
      <c r="R21" s="7">
        <v>-3.2805759397422323</v>
      </c>
      <c r="S21" s="7">
        <v>0.34000765104973812</v>
      </c>
      <c r="T21" s="7">
        <v>6.5387775233992391</v>
      </c>
      <c r="U21" s="7">
        <v>18.426419280873862</v>
      </c>
      <c r="V21" s="7">
        <v>437.70697113267641</v>
      </c>
      <c r="W21" s="7">
        <v>-395.4053211099955</v>
      </c>
      <c r="X21" s="7">
        <v>1.0001341666697963</v>
      </c>
      <c r="Y21" s="7">
        <v>4.8420195311623333</v>
      </c>
      <c r="Z21" s="7">
        <v>0.32442654281424943</v>
      </c>
      <c r="AA21" s="7">
        <v>8.6540290486571987</v>
      </c>
      <c r="AB21" s="7">
        <v>-13.379347854573705</v>
      </c>
    </row>
    <row r="22" spans="1:28" ht="15" x14ac:dyDescent="0.25">
      <c r="A22" s="3" t="s">
        <v>21</v>
      </c>
      <c r="B22" s="3" t="s">
        <v>36</v>
      </c>
      <c r="C22" s="4">
        <f>'2020'!C22*'Bobot M'!$J22</f>
        <v>2.9358839006267892</v>
      </c>
      <c r="D22" s="4">
        <f>'2020'!D22*'Bobot M'!$J22</f>
        <v>3.744436132528818</v>
      </c>
      <c r="E22" s="4">
        <f>'2020'!E22*'Bobot M'!$J22</f>
        <v>0.34319842936848682</v>
      </c>
      <c r="F22" s="4">
        <f>'2020'!F22*'Bobot M'!$J22</f>
        <v>6552.7877460989575</v>
      </c>
      <c r="G22" s="4">
        <f>'2020'!G22*'Bobot M'!$J22</f>
        <v>0.32283920050764442</v>
      </c>
      <c r="H22" s="4">
        <f>'2020'!H22*'Bobot M'!$J22</f>
        <v>2.9188486274983294</v>
      </c>
      <c r="I22" s="4">
        <f>'2020'!I22*'Bobot M'!$J22</f>
        <v>3.0759055358533995</v>
      </c>
      <c r="J22" s="4">
        <f>'2020'!J22*'Bobot M'!$J22</f>
        <v>19368.357657019234</v>
      </c>
      <c r="K22" s="4">
        <f>'2020'!K22*'Bobot M'!$J22</f>
        <v>0.15747240282161806</v>
      </c>
      <c r="L22" s="4">
        <f>'2020'!L22*'Bobot M'!$J22</f>
        <v>0.47864962546307122</v>
      </c>
      <c r="M22" s="4">
        <f>'2020'!M22*'Bobot M'!$J22</f>
        <v>2.6965590878952539</v>
      </c>
      <c r="N22" s="4">
        <f>'2020'!N22*'Bobot M'!$J22</f>
        <v>1.3586669056113221E-2</v>
      </c>
      <c r="Q22" s="7">
        <v>-976.00943780785951</v>
      </c>
      <c r="R22" s="7">
        <v>106.92117410055457</v>
      </c>
      <c r="S22" s="7">
        <v>16.706166523547431</v>
      </c>
      <c r="T22" s="7">
        <v>18.426419280873937</v>
      </c>
      <c r="U22" s="7">
        <v>454.41112392257583</v>
      </c>
      <c r="V22" s="7">
        <v>1493.4667995769769</v>
      </c>
      <c r="W22" s="7">
        <v>-1163.2792063033523</v>
      </c>
      <c r="X22" s="7">
        <v>25.368273351943742</v>
      </c>
      <c r="Y22" s="7">
        <v>44.26917367318736</v>
      </c>
      <c r="Z22" s="7">
        <v>32.840066181286076</v>
      </c>
      <c r="AA22" s="7">
        <v>118.32215435834416</v>
      </c>
      <c r="AB22" s="7">
        <v>-146.29300290867658</v>
      </c>
    </row>
    <row r="23" spans="1:28" ht="15" x14ac:dyDescent="0.25">
      <c r="A23" s="3" t="s">
        <v>21</v>
      </c>
      <c r="B23" s="3" t="s">
        <v>37</v>
      </c>
      <c r="C23" s="4">
        <f>'2020'!C23*'Bobot M'!$J23</f>
        <v>3.9358392897457244</v>
      </c>
      <c r="D23" s="4">
        <f>'2020'!D23*'Bobot M'!$J23</f>
        <v>4.7068535748032438</v>
      </c>
      <c r="E23" s="4">
        <f>'2020'!E23*'Bobot M'!$J23</f>
        <v>0.25611914913695688</v>
      </c>
      <c r="F23" s="4">
        <f>'2020'!F23*'Bobot M'!$J23</f>
        <v>12910.710720212388</v>
      </c>
      <c r="G23" s="4">
        <f>'2020'!G23*'Bobot M'!$J23</f>
        <v>0.4846071867487648</v>
      </c>
      <c r="H23" s="4">
        <f>'2020'!H23*'Bobot M'!$J23</f>
        <v>3.8157502281171936</v>
      </c>
      <c r="I23" s="4">
        <f>'2020'!I23*'Bobot M'!$J23</f>
        <v>4.0118248464398842</v>
      </c>
      <c r="J23" s="4">
        <f>'2020'!J23*'Bobot M'!$J23</f>
        <v>27560.280233489211</v>
      </c>
      <c r="K23" s="4">
        <f>'2020'!K23*'Bobot M'!$J23</f>
        <v>0.12008906162853163</v>
      </c>
      <c r="L23" s="4">
        <f>'2020'!L23*'Bobot M'!$J23</f>
        <v>0.61319812884657299</v>
      </c>
      <c r="M23" s="4">
        <f>'2020'!M23*'Bobot M'!$J23</f>
        <v>3.4129736408852156</v>
      </c>
      <c r="N23" s="4">
        <f>'2020'!N23*'Bobot M'!$J23</f>
        <v>1.976687209106804E-2</v>
      </c>
      <c r="Q23" s="7">
        <v>-10932.931643005415</v>
      </c>
      <c r="R23" s="7">
        <v>1104.7346059568583</v>
      </c>
      <c r="S23" s="7">
        <v>72.742797582239319</v>
      </c>
      <c r="T23" s="7">
        <v>437.70697113267278</v>
      </c>
      <c r="U23" s="7">
        <v>1493.4667995769173</v>
      </c>
      <c r="V23" s="7">
        <v>282587.44539259846</v>
      </c>
      <c r="W23" s="7">
        <v>-280909.95860373904</v>
      </c>
      <c r="X23" s="7">
        <v>1172.0292716846113</v>
      </c>
      <c r="Y23" s="7">
        <v>1031.2158662956349</v>
      </c>
      <c r="Z23" s="7">
        <v>1038.8378177626182</v>
      </c>
      <c r="AA23" s="7">
        <v>3953.0385516542706</v>
      </c>
      <c r="AB23" s="7">
        <v>-649.23283525872284</v>
      </c>
    </row>
    <row r="24" spans="1:28" ht="15" x14ac:dyDescent="0.25">
      <c r="A24" s="3" t="s">
        <v>21</v>
      </c>
      <c r="B24" s="3" t="s">
        <v>38</v>
      </c>
      <c r="C24" s="4">
        <f>'2020'!C24*'Bobot M'!$J24</f>
        <v>2.0787763192329964</v>
      </c>
      <c r="D24" s="4">
        <f>'2020'!D24*'Bobot M'!$J24</f>
        <v>2.4140431227755688</v>
      </c>
      <c r="E24" s="4">
        <f>'2020'!E24*'Bobot M'!$J24</f>
        <v>0.32030498808393265</v>
      </c>
      <c r="F24" s="4">
        <f>'2020'!F24*'Bobot M'!$J24</f>
        <v>935.58399999397625</v>
      </c>
      <c r="G24" s="4">
        <f>'2020'!G24*'Bobot M'!$J24</f>
        <v>0.25007605838011515</v>
      </c>
      <c r="H24" s="4">
        <f>'2020'!H24*'Bobot M'!$J24</f>
        <v>2.1505319647999408</v>
      </c>
      <c r="I24" s="4">
        <f>'2020'!I24*'Bobot M'!$J24</f>
        <v>2.2656463408796763</v>
      </c>
      <c r="J24" s="4">
        <f>'2020'!J24*'Bobot M'!$J24</f>
        <v>11059.896124295272</v>
      </c>
      <c r="K24" s="4">
        <f>'2020'!K24*'Bobot M'!$J24</f>
        <v>0.1548089885210237</v>
      </c>
      <c r="L24" s="4">
        <f>'2020'!L24*'Bobot M'!$J24</f>
        <v>0.37404538646598423</v>
      </c>
      <c r="M24" s="4">
        <f>'2020'!M24*'Bobot M'!$J24</f>
        <v>1.8293109471981319</v>
      </c>
      <c r="N24" s="4">
        <f>'2020'!N24*'Bobot M'!$J24</f>
        <v>1.1480903290711027E-2</v>
      </c>
      <c r="Q24" s="7">
        <v>9458.4514715108107</v>
      </c>
      <c r="R24" s="7">
        <v>-1184.2401313749638</v>
      </c>
      <c r="S24" s="7">
        <v>-105.09122533758236</v>
      </c>
      <c r="T24" s="7">
        <v>-395.40532110999328</v>
      </c>
      <c r="U24" s="7">
        <v>-1163.2792063033041</v>
      </c>
      <c r="V24" s="7">
        <v>-280909.9586037391</v>
      </c>
      <c r="W24" s="7">
        <v>280684.09568497288</v>
      </c>
      <c r="X24" s="7">
        <v>-1095.7602511352882</v>
      </c>
      <c r="Y24" s="7">
        <v>-1022.7590698525169</v>
      </c>
      <c r="Z24" s="7">
        <v>-1048.5114326046387</v>
      </c>
      <c r="AA24" s="7">
        <v>-4111.3099354405576</v>
      </c>
      <c r="AB24" s="7">
        <v>510.70179888210242</v>
      </c>
    </row>
    <row r="25" spans="1:28" ht="15" x14ac:dyDescent="0.25">
      <c r="A25" s="3" t="s">
        <v>21</v>
      </c>
      <c r="B25" s="3" t="s">
        <v>39</v>
      </c>
      <c r="C25" s="4">
        <f>'2020'!C25*'Bobot M'!$J25</f>
        <v>0.48554079186477578</v>
      </c>
      <c r="D25" s="4">
        <f>'2020'!D25*'Bobot M'!$J25</f>
        <v>0.6404915118075164</v>
      </c>
      <c r="E25" s="4">
        <f>'2020'!E25*'Bobot M'!$J25</f>
        <v>6.4134759313316692E-2</v>
      </c>
      <c r="F25" s="4">
        <f>'2020'!F25*'Bobot M'!$J25</f>
        <v>55.209897473078811</v>
      </c>
      <c r="G25" s="4">
        <f>'2020'!G25*'Bobot M'!$J25</f>
        <v>5.5217245504457307E-2</v>
      </c>
      <c r="H25" s="4">
        <f>'2020'!H25*'Bobot M'!$J25</f>
        <v>0.49574242766211085</v>
      </c>
      <c r="I25" s="4">
        <f>'2020'!I25*'Bobot M'!$J25</f>
        <v>0.52285166964104346</v>
      </c>
      <c r="J25" s="4">
        <f>'2020'!J25*'Bobot M'!$J25</f>
        <v>2727.0755989038589</v>
      </c>
      <c r="K25" s="4">
        <f>'2020'!K25*'Bobot M'!$J25</f>
        <v>3.1318308496714159E-2</v>
      </c>
      <c r="L25" s="4">
        <f>'2020'!L25*'Bobot M'!$J25</f>
        <v>3.6240776119204537E-2</v>
      </c>
      <c r="M25" s="4">
        <f>'2020'!M25*'Bobot M'!$J25</f>
        <v>0.54782070830584972</v>
      </c>
      <c r="N25" s="4">
        <f>'2020'!N25*'Bobot M'!$J25</f>
        <v>2.389893700774315E-3</v>
      </c>
      <c r="Q25" s="7">
        <v>-216.58349427779893</v>
      </c>
      <c r="R25" s="7">
        <v>41.288707516795249</v>
      </c>
      <c r="S25" s="7">
        <v>-2.7761907007778484</v>
      </c>
      <c r="T25" s="7">
        <v>1.0001341666696377</v>
      </c>
      <c r="U25" s="7">
        <v>25.368273351942953</v>
      </c>
      <c r="V25" s="7">
        <v>1172.0292716845122</v>
      </c>
      <c r="W25" s="7">
        <v>-1095.7602511351893</v>
      </c>
      <c r="X25" s="7">
        <v>68.97531991571428</v>
      </c>
      <c r="Y25" s="7">
        <v>28.971694785157961</v>
      </c>
      <c r="Z25" s="7">
        <v>6.2931975511616374</v>
      </c>
      <c r="AA25" s="7">
        <v>-20.579542714557803</v>
      </c>
      <c r="AB25" s="7">
        <v>3.1870110216594791E-2</v>
      </c>
    </row>
    <row r="26" spans="1:28" ht="15" x14ac:dyDescent="0.25">
      <c r="A26" s="3" t="s">
        <v>21</v>
      </c>
      <c r="B26" s="3" t="s">
        <v>40</v>
      </c>
      <c r="C26" s="4">
        <f>'2020'!C26*'Bobot M'!$J26</f>
        <v>1.3437620124446779</v>
      </c>
      <c r="D26" s="4">
        <f>'2020'!D26*'Bobot M'!$J26</f>
        <v>1.6070058911143683</v>
      </c>
      <c r="E26" s="4">
        <f>'2020'!E26*'Bobot M'!$J26</f>
        <v>0.11793890741204109</v>
      </c>
      <c r="F26" s="4">
        <f>'2020'!F26*'Bobot M'!$J26</f>
        <v>567.85006212238784</v>
      </c>
      <c r="G26" s="4">
        <f>'2020'!G26*'Bobot M'!$J26</f>
        <v>0.18238157388718332</v>
      </c>
      <c r="H26" s="4">
        <f>'2020'!H26*'Bobot M'!$J26</f>
        <v>1.266607367925124</v>
      </c>
      <c r="I26" s="4">
        <f>'2020'!I26*'Bobot M'!$J26</f>
        <v>1.3319328106533503</v>
      </c>
      <c r="J26" s="4">
        <f>'2020'!J26*'Bobot M'!$J26</f>
        <v>9664.616763240103</v>
      </c>
      <c r="K26" s="4">
        <f>'2020'!K26*'Bobot M'!$J26</f>
        <v>5.2083798931964263E-2</v>
      </c>
      <c r="L26" s="4">
        <f>'2020'!L26*'Bobot M'!$J26</f>
        <v>0.2238720577821379</v>
      </c>
      <c r="M26" s="4">
        <f>'2020'!M26*'Bobot M'!$J26</f>
        <v>1.0736324790009311</v>
      </c>
      <c r="N26" s="4">
        <f>'2020'!N26*'Bobot M'!$J26</f>
        <v>7.2740763254133126E-3</v>
      </c>
      <c r="Q26" s="7">
        <v>-63.679156718436936</v>
      </c>
      <c r="R26" s="7">
        <v>-40.549639465347113</v>
      </c>
      <c r="S26" s="7">
        <v>-8.7517626544051232</v>
      </c>
      <c r="T26" s="7">
        <v>4.8420195311622729</v>
      </c>
      <c r="U26" s="7">
        <v>44.269173673186963</v>
      </c>
      <c r="V26" s="7">
        <v>1031.2158662955997</v>
      </c>
      <c r="W26" s="7">
        <v>-1022.7590698524812</v>
      </c>
      <c r="X26" s="7">
        <v>28.971694785158185</v>
      </c>
      <c r="Y26" s="7">
        <v>44.116544355804919</v>
      </c>
      <c r="Z26" s="7">
        <v>11.92309601407935</v>
      </c>
      <c r="AA26" s="7">
        <v>18.410899890593882</v>
      </c>
      <c r="AB26" s="7">
        <v>-38.74427613443973</v>
      </c>
    </row>
    <row r="27" spans="1:28" ht="15" x14ac:dyDescent="0.25">
      <c r="A27" s="3" t="s">
        <v>21</v>
      </c>
      <c r="B27" s="3" t="s">
        <v>41</v>
      </c>
      <c r="C27" s="4">
        <f>'2020'!C27*'Bobot M'!$J27</f>
        <v>0.43911468437520895</v>
      </c>
      <c r="D27" s="4">
        <f>'2020'!D27*'Bobot M'!$J27</f>
        <v>0.54059449622044331</v>
      </c>
      <c r="E27" s="4">
        <f>'2020'!E27*'Bobot M'!$J27</f>
        <v>4.5562364501941913E-2</v>
      </c>
      <c r="F27" s="4">
        <f>'2020'!F27*'Bobot M'!$J27</f>
        <v>50.501561501560218</v>
      </c>
      <c r="G27" s="4">
        <f>'2020'!G27*'Bobot M'!$J27</f>
        <v>5.6745853970600384E-2</v>
      </c>
      <c r="H27" s="4">
        <f>'2020'!H27*'Bobot M'!$J27</f>
        <v>0.41728025255544721</v>
      </c>
      <c r="I27" s="4">
        <f>'2020'!I27*'Bobot M'!$J27</f>
        <v>0.43952888768886306</v>
      </c>
      <c r="J27" s="4">
        <f>'2020'!J27*'Bobot M'!$J27</f>
        <v>3239.158670627342</v>
      </c>
      <c r="K27" s="4">
        <f>'2020'!K27*'Bobot M'!$J27</f>
        <v>2.1597744211959476E-2</v>
      </c>
      <c r="L27" s="4">
        <f>'2020'!L27*'Bobot M'!$J27</f>
        <v>7.2012204673848459E-2</v>
      </c>
      <c r="M27" s="4">
        <f>'2020'!M27*'Bobot M'!$J27</f>
        <v>0.32982418147249903</v>
      </c>
      <c r="N27" s="4">
        <f>'2020'!N27*'Bobot M'!$J27</f>
        <v>2.3491245074377847E-3</v>
      </c>
      <c r="Q27" s="7">
        <v>-70.550262058271983</v>
      </c>
      <c r="R27" s="7">
        <v>10.363196867470327</v>
      </c>
      <c r="S27" s="7">
        <v>-2.0847418556223163</v>
      </c>
      <c r="T27" s="7">
        <v>0.32442654281426525</v>
      </c>
      <c r="U27" s="7">
        <v>32.840066181285948</v>
      </c>
      <c r="V27" s="7">
        <v>1038.8378177626312</v>
      </c>
      <c r="W27" s="7">
        <v>-1048.511432604651</v>
      </c>
      <c r="X27" s="7">
        <v>6.2931975511620584</v>
      </c>
      <c r="Y27" s="7">
        <v>11.92309601407953</v>
      </c>
      <c r="Z27" s="7">
        <v>23.285242193140078</v>
      </c>
      <c r="AA27" s="7">
        <v>25.976097977288191</v>
      </c>
      <c r="AB27" s="7">
        <v>-25.455674573342986</v>
      </c>
    </row>
    <row r="28" spans="1:28" ht="15" x14ac:dyDescent="0.25">
      <c r="A28" s="3" t="s">
        <v>21</v>
      </c>
      <c r="B28" s="3" t="s">
        <v>42</v>
      </c>
      <c r="C28" s="4">
        <f>'2020'!C28*'Bobot M'!$J28</f>
        <v>3.3710706298108639</v>
      </c>
      <c r="D28" s="4">
        <f>'2020'!D28*'Bobot M'!$J28</f>
        <v>3.915752266353731</v>
      </c>
      <c r="E28" s="4">
        <f>'2020'!E28*'Bobot M'!$J28</f>
        <v>0.16501744341731503</v>
      </c>
      <c r="F28" s="4">
        <f>'2020'!F28*'Bobot M'!$J28</f>
        <v>7988.0415684123154</v>
      </c>
      <c r="G28" s="4">
        <f>'2020'!G28*'Bobot M'!$J28</f>
        <v>0.44459586885617453</v>
      </c>
      <c r="H28" s="4">
        <f>'2020'!H28*'Bobot M'!$J28</f>
        <v>2.9963693673144043</v>
      </c>
      <c r="I28" s="4">
        <f>'2020'!I28*'Bobot M'!$J28</f>
        <v>3.1419486657677749</v>
      </c>
      <c r="J28" s="4">
        <f>'2020'!J28*'Bobot M'!$J28</f>
        <v>20697.571326587</v>
      </c>
      <c r="K28" s="4">
        <f>'2020'!K28*'Bobot M'!$J28</f>
        <v>0.11662886978366624</v>
      </c>
      <c r="L28" s="4">
        <f>'2020'!L28*'Bobot M'!$J28</f>
        <v>0.46279328116284585</v>
      </c>
      <c r="M28" s="4">
        <f>'2020'!M28*'Bobot M'!$J28</f>
        <v>2.676260341737958</v>
      </c>
      <c r="N28" s="4">
        <f>'2020'!N28*'Bobot M'!$J28</f>
        <v>1.6625817607458807E-2</v>
      </c>
      <c r="Q28" s="7">
        <v>-224.97710785972663</v>
      </c>
      <c r="R28" s="7">
        <v>-168.90995398886849</v>
      </c>
      <c r="S28" s="7">
        <v>-28.052898154549439</v>
      </c>
      <c r="T28" s="7">
        <v>8.6540290486574669</v>
      </c>
      <c r="U28" s="7">
        <v>118.32215435834456</v>
      </c>
      <c r="V28" s="7">
        <v>3953.038551654437</v>
      </c>
      <c r="W28" s="7">
        <v>-4111.3099354407195</v>
      </c>
      <c r="X28" s="7">
        <v>-20.579542714555782</v>
      </c>
      <c r="Y28" s="7">
        <v>18.410899890594948</v>
      </c>
      <c r="Z28" s="7">
        <v>25.976097977288585</v>
      </c>
      <c r="AA28" s="7">
        <v>423.66800814275382</v>
      </c>
      <c r="AB28" s="7">
        <v>9.7027587845152752</v>
      </c>
    </row>
    <row r="29" spans="1:28" ht="15" x14ac:dyDescent="0.25">
      <c r="A29" s="3" t="s">
        <v>21</v>
      </c>
      <c r="B29" s="3" t="s">
        <v>43</v>
      </c>
      <c r="C29" s="4">
        <f>'2020'!C29*'Bobot M'!$J29</f>
        <v>0.42253250666986791</v>
      </c>
      <c r="D29" s="4">
        <f>'2020'!D29*'Bobot M'!$J29</f>
        <v>0.53255232079808823</v>
      </c>
      <c r="E29" s="4">
        <f>'2020'!E29*'Bobot M'!$J29</f>
        <v>5.37122374615722E-2</v>
      </c>
      <c r="F29" s="4">
        <f>'2020'!F29*'Bobot M'!$J29</f>
        <v>93.929895885516899</v>
      </c>
      <c r="G29" s="4">
        <f>'2020'!G29*'Bobot M'!$J29</f>
        <v>5.591263374413661E-2</v>
      </c>
      <c r="H29" s="4">
        <f>'2020'!H29*'Bobot M'!$J29</f>
        <v>0.39691763712411809</v>
      </c>
      <c r="I29" s="4">
        <f>'2020'!I29*'Bobot M'!$J29</f>
        <v>0.41824455493974233</v>
      </c>
      <c r="J29" s="4">
        <f>'2020'!J29*'Bobot M'!$J29</f>
        <v>2583.79558765513</v>
      </c>
      <c r="K29" s="4">
        <f>'2020'!K29*'Bobot M'!$J29</f>
        <v>2.5502028710746465E-2</v>
      </c>
      <c r="L29" s="4">
        <f>'2020'!L29*'Bobot M'!$J29</f>
        <v>6.1893197999311672E-2</v>
      </c>
      <c r="M29" s="4">
        <f>'2020'!M29*'Bobot M'!$J29</f>
        <v>0.35973658199052977</v>
      </c>
      <c r="N29" s="4">
        <f>'2020'!N29*'Bobot M'!$J29</f>
        <v>2.375299576819527E-3</v>
      </c>
      <c r="Q29" s="7">
        <v>234.85747377381588</v>
      </c>
      <c r="R29" s="7">
        <v>-97.338360903685967</v>
      </c>
      <c r="S29" s="7">
        <v>-2.8466381513047123</v>
      </c>
      <c r="T29" s="7">
        <v>-13.379347854573744</v>
      </c>
      <c r="U29" s="7">
        <v>-146.29300290867644</v>
      </c>
      <c r="V29" s="7">
        <v>-649.23283525876082</v>
      </c>
      <c r="W29" s="7">
        <v>510.70179888213994</v>
      </c>
      <c r="X29" s="7">
        <v>3.1870110216209419E-2</v>
      </c>
      <c r="Y29" s="7">
        <v>-38.744276134439936</v>
      </c>
      <c r="Z29" s="7">
        <v>-25.455674573343103</v>
      </c>
      <c r="AA29" s="7">
        <v>9.7027587845151402</v>
      </c>
      <c r="AB29" s="7">
        <v>205.21550264002261</v>
      </c>
    </row>
    <row r="30" spans="1:28" ht="15" x14ac:dyDescent="0.25">
      <c r="A30" s="3" t="s">
        <v>21</v>
      </c>
      <c r="B30" s="3" t="s">
        <v>44</v>
      </c>
      <c r="C30" s="4">
        <f>'2020'!C30*'Bobot M'!$J30</f>
        <v>3.5212427622550417</v>
      </c>
      <c r="D30" s="4">
        <f>'2020'!D30*'Bobot M'!$J30</f>
        <v>4.0159449662773756</v>
      </c>
      <c r="E30" s="4">
        <f>'2020'!E30*'Bobot M'!$J30</f>
        <v>0.18923979507579242</v>
      </c>
      <c r="F30" s="4">
        <f>'2020'!F30*'Bobot M'!$J30</f>
        <v>2921.5185207262161</v>
      </c>
      <c r="G30" s="4">
        <f>'2020'!G30*'Bobot M'!$J30</f>
        <v>0.48217262854927934</v>
      </c>
      <c r="H30" s="4">
        <f>'2020'!H30*'Bobot M'!$J30</f>
        <v>3.1635017797829956</v>
      </c>
      <c r="I30" s="4">
        <f>'2020'!I30*'Bobot M'!$J30</f>
        <v>3.3142887397863094</v>
      </c>
      <c r="J30" s="4">
        <f>'2020'!J30*'Bobot M'!$J30</f>
        <v>28427.144038699284</v>
      </c>
      <c r="K30" s="4">
        <f>'2020'!K30*'Bobot M'!$J30</f>
        <v>5.7463225445389031E-2</v>
      </c>
      <c r="L30" s="4">
        <f>'2020'!L30*'Bobot M'!$J30</f>
        <v>0.46143402086974045</v>
      </c>
      <c r="M30" s="4">
        <f>'2020'!M30*'Bobot M'!$J30</f>
        <v>2.7971197107778085</v>
      </c>
      <c r="N30" s="4">
        <f>'2020'!N30*'Bobot M'!$J30</f>
        <v>1.5208312298328523E-2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" x14ac:dyDescent="0.25">
      <c r="A31" s="3" t="s">
        <v>21</v>
      </c>
      <c r="B31" s="3" t="s">
        <v>45</v>
      </c>
      <c r="C31" s="4">
        <f>'2020'!C31*'Bobot M'!$J31</f>
        <v>2.8450112797990839</v>
      </c>
      <c r="D31" s="4">
        <f>'2020'!D31*'Bobot M'!$J31</f>
        <v>3.2680560594555121</v>
      </c>
      <c r="E31" s="4">
        <f>'2020'!E31*'Bobot M'!$J31</f>
        <v>8.6084693534738257E-2</v>
      </c>
      <c r="F31" s="4">
        <f>'2020'!F31*'Bobot M'!$J31</f>
        <v>1691.333380432495</v>
      </c>
      <c r="G31" s="4">
        <f>'2020'!G31*'Bobot M'!$J31</f>
        <v>0.39634095635585609</v>
      </c>
      <c r="H31" s="4">
        <f>'2020'!H31*'Bobot M'!$J31</f>
        <v>2.5512692234927936</v>
      </c>
      <c r="I31" s="4">
        <f>'2020'!I31*'Bobot M'!$J31</f>
        <v>2.685139706091713</v>
      </c>
      <c r="J31" s="4">
        <f>'2020'!J31*'Bobot M'!$J31</f>
        <v>24180.803911202307</v>
      </c>
      <c r="K31" s="4">
        <f>'2020'!K31*'Bobot M'!$J31</f>
        <v>4.4272128103579673E-2</v>
      </c>
      <c r="L31" s="4">
        <f>'2020'!L31*'Bobot M'!$J31</f>
        <v>0.34679833681137406</v>
      </c>
      <c r="M31" s="4">
        <f>'2020'!M31*'Bobot M'!$J31</f>
        <v>2.2473375504007587</v>
      </c>
      <c r="N31" s="4">
        <f>'2020'!N31*'Bobot M'!$J31</f>
        <v>1.2086993704469369E-2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" x14ac:dyDescent="0.25">
      <c r="A32" s="3" t="s">
        <v>21</v>
      </c>
      <c r="B32" s="3" t="s">
        <v>46</v>
      </c>
      <c r="C32" s="4">
        <f>'2020'!C32*'Bobot M'!$J32</f>
        <v>0.75497420473837817</v>
      </c>
      <c r="D32" s="4">
        <f>'2020'!D32*'Bobot M'!$J32</f>
        <v>0.89252443245507107</v>
      </c>
      <c r="E32" s="4">
        <f>'2020'!E32*'Bobot M'!$J32</f>
        <v>4.9568523528370968E-2</v>
      </c>
      <c r="F32" s="4">
        <f>'2020'!F32*'Bobot M'!$J32</f>
        <v>216.71009275870514</v>
      </c>
      <c r="G32" s="4">
        <f>'2020'!G32*'Bobot M'!$J32</f>
        <v>0.10631526768511661</v>
      </c>
      <c r="H32" s="4">
        <f>'2020'!H32*'Bobot M'!$J32</f>
        <v>0.70026452319238752</v>
      </c>
      <c r="I32" s="4">
        <f>'2020'!I32*'Bobot M'!$J32</f>
        <v>0.7349915905566865</v>
      </c>
      <c r="J32" s="4">
        <f>'2020'!J32*'Bobot M'!$J32</f>
        <v>4960.4899646420163</v>
      </c>
      <c r="K32" s="4">
        <f>'2020'!K32*'Bobot M'!$J32</f>
        <v>2.5802793069562971E-2</v>
      </c>
      <c r="L32" s="4">
        <f>'2020'!L32*'Bobot M'!$J32</f>
        <v>0.12901396534781484</v>
      </c>
      <c r="M32" s="4">
        <f>'2020'!M32*'Bobot M'!$J32</f>
        <v>0.60791768483816211</v>
      </c>
      <c r="N32" s="4">
        <f>'2020'!N32*'Bobot M'!$J32</f>
        <v>3.6861132956518528E-3</v>
      </c>
      <c r="Q32" s="7" t="s">
        <v>84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" x14ac:dyDescent="0.25">
      <c r="A33" s="3" t="s">
        <v>21</v>
      </c>
      <c r="B33" s="3" t="s">
        <v>47</v>
      </c>
      <c r="C33" s="4">
        <f>'2020'!C33*'Bobot M'!$J33</f>
        <v>0.89069730990612472</v>
      </c>
      <c r="D33" s="4">
        <f>'2020'!D33*'Bobot M'!$J33</f>
        <v>1.1175178187266877</v>
      </c>
      <c r="E33" s="4">
        <f>'2020'!E33*'Bobot M'!$J33</f>
        <v>0.15816462362380115</v>
      </c>
      <c r="F33" s="4">
        <f>'2020'!F33*'Bobot M'!$J33</f>
        <v>188.16370900599264</v>
      </c>
      <c r="G33" s="4">
        <f>'2020'!G33*'Bobot M'!$J33</f>
        <v>0.11377609394063723</v>
      </c>
      <c r="H33" s="4">
        <f>'2020'!H33*'Bobot M'!$J33</f>
        <v>0.85667423358304018</v>
      </c>
      <c r="I33" s="4">
        <f>'2020'!I33*'Bobot M'!$J33</f>
        <v>0.90264806789774565</v>
      </c>
      <c r="J33" s="4">
        <f>'2020'!J33*'Bobot M'!$J33</f>
        <v>5733.3151732251436</v>
      </c>
      <c r="K33" s="4">
        <f>'2020'!K33*'Bobot M'!$J33</f>
        <v>5.0851694719448788E-2</v>
      </c>
      <c r="L33" s="4">
        <f>'2020'!L33*'Bobot M'!$J33</f>
        <v>9.7435261584747204E-2</v>
      </c>
      <c r="M33" s="4">
        <f>'2020'!M33*'Bobot M'!$J33</f>
        <v>0.81143207832904629</v>
      </c>
      <c r="N33" s="4">
        <f>'2020'!N33*'Bobot M'!$J33</f>
        <v>4.4632422703401098E-3</v>
      </c>
      <c r="Q33" s="7">
        <f>-(Q18)/SQRT(Q18*Q18)</f>
        <v>-1</v>
      </c>
      <c r="R33" s="7">
        <f>-(R18)/SQRT(Q18*R19)</f>
        <v>0.40546794381255763</v>
      </c>
      <c r="S33" s="7">
        <f>-(S18)/SQRT(Q18*S20)</f>
        <v>-9.1261176357018703E-5</v>
      </c>
      <c r="T33" s="7">
        <f>-(T18)/SQRT(Q18*T21)</f>
        <v>0.41339424301498623</v>
      </c>
      <c r="U33" s="7">
        <f>-(U18)/SQRT(Q18*U22)</f>
        <v>0.77052691705143905</v>
      </c>
      <c r="V33" s="7">
        <f>-(V18)/SQRT(Q18*V23)</f>
        <v>0.34611344942557976</v>
      </c>
      <c r="W33" s="7">
        <f>-(W18)/SQRT(Q18*W24)</f>
        <v>-0.30044806547244812</v>
      </c>
      <c r="X33" s="7">
        <f>-(X18)/SQRT(Q18*X25)</f>
        <v>0.43887088361910959</v>
      </c>
      <c r="Y33" s="7">
        <f>-(Y18)/SQRT(Q18*Y26)</f>
        <v>0.16134474860965023</v>
      </c>
      <c r="Z33" s="7">
        <f>-(Z18)/SQRT(Q18*Z27)</f>
        <v>0.24604612299044931</v>
      </c>
      <c r="AA33" s="7">
        <f>-(AA18)/SQRT(Q18*AA28)</f>
        <v>0.18394321318113332</v>
      </c>
      <c r="AB33" s="7">
        <f>-(AB18)/SQRT(Q18*AB29)</f>
        <v>-0.27590373319298123</v>
      </c>
    </row>
    <row r="34" spans="1:28" ht="15" x14ac:dyDescent="0.25">
      <c r="A34" s="3" t="s">
        <v>21</v>
      </c>
      <c r="B34" s="3" t="s">
        <v>48</v>
      </c>
      <c r="C34" s="4">
        <f>'2020'!C34*'Bobot M'!$J34</f>
        <v>0.24485391173986604</v>
      </c>
      <c r="D34" s="4">
        <f>'2020'!D34*'Bobot M'!$J34</f>
        <v>0.29768361905668234</v>
      </c>
      <c r="E34" s="4">
        <f>'2020'!E34*'Bobot M'!$J34</f>
        <v>2.079721509757021E-2</v>
      </c>
      <c r="F34" s="4">
        <f>'2020'!F34*'Bobot M'!$J34</f>
        <v>11.104688368747933</v>
      </c>
      <c r="G34" s="4">
        <f>'2020'!G34*'Bobot M'!$J34</f>
        <v>2.9471258832845803E-2</v>
      </c>
      <c r="H34" s="4">
        <f>'2020'!H34*'Bobot M'!$J34</f>
        <v>0.23577007066276642</v>
      </c>
      <c r="I34" s="4">
        <f>'2020'!I34*'Bobot M'!$J34</f>
        <v>0.24891773537962114</v>
      </c>
      <c r="J34" s="4">
        <f>'2020'!J34*'Bobot M'!$J34</f>
        <v>1175.9920168546093</v>
      </c>
      <c r="K34" s="4">
        <f>'2020'!K34*'Bobot M'!$J34</f>
        <v>1.3420862944737428E-2</v>
      </c>
      <c r="L34" s="4">
        <f>'2020'!L34*'Bobot M'!$J34</f>
        <v>2.298280092063178E-2</v>
      </c>
      <c r="M34" s="4">
        <f>'2020'!M34*'Bobot M'!$J34</f>
        <v>0.22999875809874443</v>
      </c>
      <c r="N34" s="4">
        <f>'2020'!N34*'Bobot M'!$J34</f>
        <v>1.0654730887425133E-3</v>
      </c>
      <c r="Q34" s="7">
        <f>R33</f>
        <v>0.40546794381255763</v>
      </c>
      <c r="R34" s="7">
        <f>-(R19)/SQRT(R19*R19)</f>
        <v>-1</v>
      </c>
      <c r="S34" s="7">
        <f>-(S19)/SQRT(R19*S20)</f>
        <v>-0.29546264187380206</v>
      </c>
      <c r="T34" s="7">
        <f>-(T19)/SQRT(R19*T21)</f>
        <v>4.2173236401213648E-2</v>
      </c>
      <c r="U34" s="7">
        <f>-(U19)/SQRT(R19*U22)</f>
        <v>-0.16488242167928016</v>
      </c>
      <c r="V34" s="7">
        <f>-(V19)/SQRT(R19*V23)</f>
        <v>-6.831508961095388E-2</v>
      </c>
      <c r="W34" s="7">
        <f>-(W19)/SQRT(R19*W24)</f>
        <v>7.3479465289669268E-2</v>
      </c>
      <c r="X34" s="7">
        <f>-(X19)/SQRT(R19*X25)</f>
        <v>-0.1634253944566931</v>
      </c>
      <c r="Y34" s="7">
        <f>-(Y19)/SQRT(R19*Y26)</f>
        <v>0.20068798350520145</v>
      </c>
      <c r="Z34" s="7">
        <f>-(Z19)/SQRT(R19*Z27)</f>
        <v>-7.0597363797192919E-2</v>
      </c>
      <c r="AA34" s="7">
        <f>-(AA19)/SQRT(R19*AA28)</f>
        <v>0.26975998179362487</v>
      </c>
      <c r="AB34" s="7">
        <f>-(AB19)/SQRT(R19*AB29)</f>
        <v>0.22336445419783546</v>
      </c>
    </row>
    <row r="35" spans="1:28" ht="15" x14ac:dyDescent="0.25">
      <c r="A35" s="3" t="s">
        <v>49</v>
      </c>
      <c r="B35" s="3" t="s">
        <v>50</v>
      </c>
      <c r="C35" s="4">
        <f>'2020'!C35*'Bobot M'!$J35</f>
        <v>1.4053801279388116E-3</v>
      </c>
      <c r="D35" s="4">
        <f>'2020'!D35*'Bobot M'!$J35</f>
        <v>1.8747770906703746E-3</v>
      </c>
      <c r="E35" s="4">
        <f>'2020'!E35*'Bobot M'!$J35</f>
        <v>2.1448262875620018E-4</v>
      </c>
      <c r="F35" s="4">
        <f>'2020'!F35*'Bobot M'!$J35</f>
        <v>0.42186657438001773</v>
      </c>
      <c r="G35" s="4">
        <f>'2020'!G35*'Bobot M'!$J35</f>
        <v>1.5351075243639326E-4</v>
      </c>
      <c r="H35" s="4">
        <f>'2020'!H35*'Bobot M'!$J35</f>
        <v>1.3554350803151401E-3</v>
      </c>
      <c r="I35" s="4">
        <f>'2020'!I35*'Bobot M'!$J35</f>
        <v>1.4386768263545929E-3</v>
      </c>
      <c r="J35" s="4">
        <f>'2020'!J35*'Bobot M'!$J35</f>
        <v>7.8206809571866369</v>
      </c>
      <c r="K35" s="4">
        <f>'2020'!K35*'Bobot M'!$J35</f>
        <v>7.7836437855072652E-5</v>
      </c>
      <c r="L35" s="4">
        <f>'2020'!L35*'Bobot M'!$J35</f>
        <v>1.9783427954830966E-4</v>
      </c>
      <c r="M35" s="4">
        <f>'2020'!M35*'Bobot M'!$J35</f>
        <v>1.3033279094177164E-3</v>
      </c>
      <c r="N35" s="4">
        <f>'2020'!N35*'Bobot M'!$J35</f>
        <v>6.5944759849436543E-6</v>
      </c>
      <c r="Q35" s="7">
        <f>S33</f>
        <v>-9.1261176357018703E-5</v>
      </c>
      <c r="R35" s="7">
        <f>S34</f>
        <v>-0.29546264187380206</v>
      </c>
      <c r="S35" s="7">
        <f>-(S20)/SQRT(S20*S20)</f>
        <v>-1</v>
      </c>
      <c r="T35" s="7">
        <f>-(T20)/SQRT(S20*T21)</f>
        <v>-2.9086275419498802E-2</v>
      </c>
      <c r="U35" s="7">
        <f>-(U20)/SQRT(S20*U22)</f>
        <v>-0.17143521313594814</v>
      </c>
      <c r="V35" s="7">
        <f>-(V20)/SQRT(S20*V23)</f>
        <v>-2.9933759875571616E-2</v>
      </c>
      <c r="W35" s="7">
        <f>-(W20)/SQRT(S20*W24)</f>
        <v>4.3391559209866169E-2</v>
      </c>
      <c r="X35" s="7">
        <f>-(X20)/SQRT(S20*X25)</f>
        <v>7.3122349320777588E-2</v>
      </c>
      <c r="Y35" s="7">
        <f>-(Y20)/SQRT(S20*Y26)</f>
        <v>0.28823219599491123</v>
      </c>
      <c r="Z35" s="7">
        <f>-(Z20)/SQRT(S20*Z27)</f>
        <v>9.4506049412001289E-2</v>
      </c>
      <c r="AA35" s="7">
        <f>-(AA20)/SQRT(S20*AA28)</f>
        <v>0.29813475196254613</v>
      </c>
      <c r="AB35" s="7">
        <f>-(AB20)/SQRT(S20*AB29)</f>
        <v>4.3468523182522062E-2</v>
      </c>
    </row>
    <row r="36" spans="1:28" ht="15" x14ac:dyDescent="0.25">
      <c r="A36" s="3" t="s">
        <v>49</v>
      </c>
      <c r="B36" s="3" t="s">
        <v>51</v>
      </c>
      <c r="C36" s="4">
        <f>'2020'!C36*'Bobot M'!$J36</f>
        <v>1.5078411903401022E-3</v>
      </c>
      <c r="D36" s="4">
        <f>'2020'!D36*'Bobot M'!$J36</f>
        <v>1.8829730151939221E-3</v>
      </c>
      <c r="E36" s="4">
        <f>'2020'!E36*'Bobot M'!$J36</f>
        <v>2.1800113595278587E-4</v>
      </c>
      <c r="F36" s="4">
        <f>'2020'!F36*'Bobot M'!$J36</f>
        <v>0.48653984260430611</v>
      </c>
      <c r="G36" s="4">
        <f>'2020'!G36*'Bobot M'!$J36</f>
        <v>1.509964578027954E-4</v>
      </c>
      <c r="H36" s="4">
        <f>'2020'!H36*'Bobot M'!$J36</f>
        <v>1.5380404819006612E-3</v>
      </c>
      <c r="I36" s="4">
        <f>'2020'!I36*'Bobot M'!$J36</f>
        <v>1.630997676235507E-3</v>
      </c>
      <c r="J36" s="4">
        <f>'2020'!J36*'Bobot M'!$J36</f>
        <v>7.8921365786180138</v>
      </c>
      <c r="K36" s="4">
        <f>'2020'!K36*'Bobot M'!$J36</f>
        <v>7.4082637109496494E-5</v>
      </c>
      <c r="L36" s="4">
        <f>'2020'!L36*'Bobot M'!$J36</f>
        <v>2.2720248260014371E-4</v>
      </c>
      <c r="M36" s="4">
        <f>'2020'!M36*'Bobot M'!$J36</f>
        <v>1.650815961322124E-3</v>
      </c>
      <c r="N36" s="4">
        <f>'2020'!N36*'Bobot M'!$J36</f>
        <v>7.408263710949649E-6</v>
      </c>
      <c r="Q36" s="7">
        <f>T33</f>
        <v>0.41339424301498623</v>
      </c>
      <c r="R36" s="7">
        <f>T34</f>
        <v>4.2173236401213648E-2</v>
      </c>
      <c r="S36" s="7">
        <f>T35</f>
        <v>-2.9086275419498802E-2</v>
      </c>
      <c r="T36" s="7">
        <f>-(T21)/SQRT(T21*T21)</f>
        <v>-1</v>
      </c>
      <c r="U36" s="7">
        <f>-(U21)/SQRT(T21*U22)</f>
        <v>-0.33804007650325441</v>
      </c>
      <c r="V36" s="7">
        <f>-(V21)/SQRT(T21*V23)</f>
        <v>-0.32200213496954588</v>
      </c>
      <c r="W36" s="7">
        <f>-(W21)/SQRT(T21*W24)</f>
        <v>0.29186722327601694</v>
      </c>
      <c r="X36" s="7">
        <f>-(X21)/SQRT(T21*X25)</f>
        <v>-4.7093733480677566E-2</v>
      </c>
      <c r="Y36" s="7">
        <f>-(Y21)/SQRT(T21*Y26)</f>
        <v>-0.28508706502246345</v>
      </c>
      <c r="Z36" s="7">
        <f>-(Z21)/SQRT(T21*Z27)</f>
        <v>-2.6292247893834601E-2</v>
      </c>
      <c r="AA36" s="7">
        <f>-(AA21)/SQRT(T21*AA28)</f>
        <v>-0.16442098007971515</v>
      </c>
      <c r="AB36" s="7">
        <f>-(AB21)/SQRT(T21*AB29)</f>
        <v>0.36524273137000973</v>
      </c>
    </row>
    <row r="37" spans="1:28" ht="15" x14ac:dyDescent="0.25">
      <c r="A37" s="3" t="s">
        <v>49</v>
      </c>
      <c r="B37" s="3" t="s">
        <v>52</v>
      </c>
      <c r="C37" s="4">
        <f>'2020'!C37*'Bobot M'!$J37</f>
        <v>3.9762161590987059E-3</v>
      </c>
      <c r="D37" s="4">
        <f>'2020'!D37*'Bobot M'!$J37</f>
        <v>5.0299797852447203E-3</v>
      </c>
      <c r="E37" s="4">
        <f>'2020'!E37*'Bobot M'!$J37</f>
        <v>3.4443585471614213E-4</v>
      </c>
      <c r="F37" s="4">
        <f>'2020'!F37*'Bobot M'!$J37</f>
        <v>5.1682179821586356</v>
      </c>
      <c r="G37" s="4">
        <f>'2020'!G37*'Bobot M'!$J37</f>
        <v>4.6385502745881739E-4</v>
      </c>
      <c r="H37" s="4">
        <f>'2020'!H37*'Bobot M'!$J37</f>
        <v>3.7517523436657145E-3</v>
      </c>
      <c r="I37" s="4">
        <f>'2020'!I37*'Bobot M'!$J37</f>
        <v>3.9701346271534778E-3</v>
      </c>
      <c r="J37" s="4">
        <f>'2020'!J37*'Bobot M'!$J37</f>
        <v>28.790082802021391</v>
      </c>
      <c r="K37" s="4">
        <f>'2020'!K37*'Bobot M'!$J37</f>
        <v>1.0172744344746412E-4</v>
      </c>
      <c r="L37" s="4">
        <f>'2020'!L37*'Bobot M'!$J37</f>
        <v>7.2204370186080516E-4</v>
      </c>
      <c r="M37" s="4">
        <f>'2020'!M37*'Bobot M'!$J37</f>
        <v>3.6174057743302052E-3</v>
      </c>
      <c r="N37" s="4">
        <f>'2020'!N37*'Bobot M'!$J37</f>
        <v>1.5756696403547431E-5</v>
      </c>
      <c r="Q37" s="7">
        <f>U33</f>
        <v>0.77052691705143905</v>
      </c>
      <c r="R37" s="7">
        <f>U34</f>
        <v>-0.16488242167928016</v>
      </c>
      <c r="S37" s="7">
        <f>U35</f>
        <v>-0.17143521313594814</v>
      </c>
      <c r="T37" s="7">
        <f>U36</f>
        <v>-0.33804007650325441</v>
      </c>
      <c r="U37" s="7">
        <f>-(U22)/SQRT(U22*U22)</f>
        <v>-1</v>
      </c>
      <c r="V37" s="7">
        <f>-(V22)/SQRT(U22*V23)</f>
        <v>-0.13179370395244072</v>
      </c>
      <c r="W37" s="7">
        <f>-(W22)/SQRT(U22*W24)</f>
        <v>0.10300316876607528</v>
      </c>
      <c r="X37" s="7">
        <f>-(X22)/SQRT(U22*X25)</f>
        <v>-0.14329121653623844</v>
      </c>
      <c r="Y37" s="7">
        <f>-(Y22)/SQRT(U22*Y26)</f>
        <v>-0.31266278713295187</v>
      </c>
      <c r="Z37" s="7">
        <f>-(Z22)/SQRT(U22*Z27)</f>
        <v>-0.31925607261255984</v>
      </c>
      <c r="AA37" s="7">
        <f>-(AA22)/SQRT(U22*AA28)</f>
        <v>-0.2696675912225186</v>
      </c>
      <c r="AB37" s="7">
        <f>-(AB22)/SQRT(U22*AB29)</f>
        <v>0.47906450551271706</v>
      </c>
    </row>
    <row r="38" spans="1:28" ht="15" x14ac:dyDescent="0.25">
      <c r="A38" s="3" t="s">
        <v>49</v>
      </c>
      <c r="B38" s="3" t="s">
        <v>53</v>
      </c>
      <c r="C38" s="4">
        <f>'2020'!C38*'Bobot M'!$J38</f>
        <v>1.8445185079835329E-3</v>
      </c>
      <c r="D38" s="4">
        <f>'2020'!D38*'Bobot M'!$J38</f>
        <v>2.5480350123778519E-3</v>
      </c>
      <c r="E38" s="4">
        <f>'2020'!E38*'Bobot M'!$J38</f>
        <v>1.3661051618348805E-4</v>
      </c>
      <c r="F38" s="4">
        <f>'2020'!F38*'Bobot M'!$J38</f>
        <v>1.4619656459672545</v>
      </c>
      <c r="G38" s="4">
        <f>'2020'!G38*'Bobot M'!$J38</f>
        <v>2.0740462983323083E-4</v>
      </c>
      <c r="H38" s="4">
        <f>'2020'!H38*'Bobot M'!$J38</f>
        <v>1.7333496263929212E-3</v>
      </c>
      <c r="I38" s="4">
        <f>'2020'!I38*'Bobot M'!$J38</f>
        <v>1.8389877178546466E-3</v>
      </c>
      <c r="J38" s="4">
        <f>'2020'!J38*'Bobot M'!$J38</f>
        <v>9.432043562098583</v>
      </c>
      <c r="K38" s="4">
        <f>'2020'!K38*'Bobot M'!$J38</f>
        <v>6.7475639572411091E-5</v>
      </c>
      <c r="L38" s="4">
        <f>'2020'!L38*'Bobot M'!$J38</f>
        <v>3.3793127687494412E-4</v>
      </c>
      <c r="M38" s="4">
        <f>'2020'!M38*'Bobot M'!$J38</f>
        <v>1.7549197078955772E-3</v>
      </c>
      <c r="N38" s="4">
        <f>'2020'!N38*'Bobot M'!$J38</f>
        <v>8.3791470452625246E-6</v>
      </c>
      <c r="Q38" s="7">
        <f>V33</f>
        <v>0.34611344942557976</v>
      </c>
      <c r="R38" s="7">
        <f>V34</f>
        <v>-6.831508961095388E-2</v>
      </c>
      <c r="S38" s="7">
        <f>V35</f>
        <v>-2.9933759875571616E-2</v>
      </c>
      <c r="T38" s="7">
        <f>V36</f>
        <v>-0.32200213496954588</v>
      </c>
      <c r="U38" s="7">
        <f>V37</f>
        <v>-0.13179370395244072</v>
      </c>
      <c r="V38" s="7">
        <f>-(V23)/SQRT(V23*V23)</f>
        <v>-1</v>
      </c>
      <c r="W38" s="7">
        <f>-(W23)/SQRT(V23*W24)</f>
        <v>0.99742856469394792</v>
      </c>
      <c r="X38" s="7">
        <f>-(X23)/SQRT(V23*X25)</f>
        <v>-0.26546982588940932</v>
      </c>
      <c r="Y38" s="7">
        <f>-(Y23)/SQRT(V23*Y26)</f>
        <v>-0.29206022222839995</v>
      </c>
      <c r="Z38" s="7">
        <f>-(Z23)/SQRT(V23*Z27)</f>
        <v>-0.40497754174595529</v>
      </c>
      <c r="AA38" s="7">
        <f>-(AA23)/SQRT(V23*AA28)</f>
        <v>-0.36127822174868202</v>
      </c>
      <c r="AB38" s="7">
        <f>-(AB23)/SQRT(V23*AB29)</f>
        <v>8.5254823929750201E-2</v>
      </c>
    </row>
    <row r="39" spans="1:28" ht="15" x14ac:dyDescent="0.25">
      <c r="A39" s="3" t="s">
        <v>49</v>
      </c>
      <c r="B39" s="3" t="s">
        <v>54</v>
      </c>
      <c r="C39" s="4">
        <f>'2020'!C39*'Bobot M'!$J39</f>
        <v>2.514643531284022E-3</v>
      </c>
      <c r="D39" s="4">
        <f>'2020'!D39*'Bobot M'!$J39</f>
        <v>3.0548500202410116E-3</v>
      </c>
      <c r="E39" s="4">
        <f>'2020'!E39*'Bobot M'!$J39</f>
        <v>1.6775002215083188E-4</v>
      </c>
      <c r="F39" s="4">
        <f>'2020'!F39*'Bobot M'!$J39</f>
        <v>3.2912329393856234</v>
      </c>
      <c r="G39" s="4">
        <f>'2020'!G39*'Bobot M'!$J39</f>
        <v>3.4353404919394497E-4</v>
      </c>
      <c r="H39" s="4">
        <f>'2020'!H39*'Bobot M'!$J39</f>
        <v>2.236988322206783E-3</v>
      </c>
      <c r="I39" s="4">
        <f>'2020'!I39*'Bobot M'!$J39</f>
        <v>2.3616760781349877E-3</v>
      </c>
      <c r="J39" s="4">
        <f>'2020'!J39*'Bobot M'!$J39</f>
        <v>20.336797944027147</v>
      </c>
      <c r="K39" s="4">
        <f>'2020'!K39*'Bobot M'!$J39</f>
        <v>4.5633147788157331E-5</v>
      </c>
      <c r="L39" s="4">
        <f>'2020'!L39*'Bobot M'!$J39</f>
        <v>2.7733384888154779E-4</v>
      </c>
      <c r="M39" s="4">
        <f>'2020'!M39*'Bobot M'!$J39</f>
        <v>2.0878771914060435E-3</v>
      </c>
      <c r="N39" s="4">
        <f>'2020'!N39*'Bobot M'!$J39</f>
        <v>1.0894110633933336E-5</v>
      </c>
      <c r="Q39" s="7">
        <f>W33</f>
        <v>-0.30044806547244812</v>
      </c>
      <c r="R39" s="7">
        <f>W34</f>
        <v>7.3479465289669268E-2</v>
      </c>
      <c r="S39" s="7">
        <f>W35</f>
        <v>4.3391559209866169E-2</v>
      </c>
      <c r="T39" s="7">
        <f>W36</f>
        <v>0.29186722327601694</v>
      </c>
      <c r="U39" s="7">
        <f>W37</f>
        <v>0.10300316876607528</v>
      </c>
      <c r="V39" s="7">
        <f>W38</f>
        <v>0.99742856469394792</v>
      </c>
      <c r="W39" s="7">
        <f>-(W24)/SQRT(W24*W24)</f>
        <v>-1</v>
      </c>
      <c r="X39" s="7">
        <f>-(X24)/SQRT(W24*X25)</f>
        <v>0.24903465010871334</v>
      </c>
      <c r="Y39" s="7">
        <f>-(Y24)/SQRT(W24*Y26)</f>
        <v>0.29064556044059225</v>
      </c>
      <c r="Z39" s="7">
        <f>-(Z24)/SQRT(W24*Z27)</f>
        <v>0.41013221920890852</v>
      </c>
      <c r="AA39" s="7">
        <f>-(AA24)/SQRT(W24*AA28)</f>
        <v>0.37701487002649148</v>
      </c>
      <c r="AB39" s="7">
        <f>-(AB24)/SQRT(W24*AB29)</f>
        <v>-6.7290445292700216E-2</v>
      </c>
    </row>
    <row r="40" spans="1:28" ht="15" x14ac:dyDescent="0.25">
      <c r="A40" s="3" t="s">
        <v>49</v>
      </c>
      <c r="B40" s="3" t="s">
        <v>55</v>
      </c>
      <c r="C40" s="4">
        <f>'2020'!C40*'Bobot M'!$J40</f>
        <v>5.4115395373510505E-4</v>
      </c>
      <c r="D40" s="4">
        <f>'2020'!D40*'Bobot M'!$J40</f>
        <v>6.4612522717010087E-4</v>
      </c>
      <c r="E40" s="4">
        <f>'2020'!E40*'Bobot M'!$J40</f>
        <v>2.7335497457666499E-5</v>
      </c>
      <c r="F40" s="4">
        <f>'2020'!F40*'Bobot M'!$J40</f>
        <v>0.54314759305104199</v>
      </c>
      <c r="G40" s="4">
        <f>'2020'!G40*'Bobot M'!$J40</f>
        <v>7.3116899703839651E-5</v>
      </c>
      <c r="H40" s="4">
        <f>'2020'!H40*'Bobot M'!$J40</f>
        <v>4.7900088498989586E-4</v>
      </c>
      <c r="I40" s="4">
        <f>'2020'!I40*'Bobot M'!$J40</f>
        <v>5.0804022104248474E-4</v>
      </c>
      <c r="J40" s="4">
        <f>'2020'!J40*'Bobot M'!$J40</f>
        <v>3.7378588855588735</v>
      </c>
      <c r="K40" s="4">
        <f>'2020'!K40*'Bobot M'!$J40</f>
        <v>1.4964147659752394E-5</v>
      </c>
      <c r="L40" s="4">
        <f>'2020'!L40*'Bobot M'!$J40</f>
        <v>9.4007442476365277E-5</v>
      </c>
      <c r="M40" s="4">
        <f>'2020'!M40*'Bobot M'!$J40</f>
        <v>4.580362622784606E-4</v>
      </c>
      <c r="N40" s="4">
        <f>'2020'!N40*'Bobot M'!$J40</f>
        <v>2.7631817213305162E-6</v>
      </c>
      <c r="Q40" s="7">
        <f>X33</f>
        <v>0.43887088361910959</v>
      </c>
      <c r="R40" s="7">
        <f>X34</f>
        <v>-0.1634253944566931</v>
      </c>
      <c r="S40" s="7">
        <f>X35</f>
        <v>7.3122349320777588E-2</v>
      </c>
      <c r="T40" s="7">
        <f>X36</f>
        <v>-4.7093733480677566E-2</v>
      </c>
      <c r="U40" s="7">
        <f>X37</f>
        <v>-0.14329121653623844</v>
      </c>
      <c r="V40" s="7">
        <f>X38</f>
        <v>-0.26546982588940932</v>
      </c>
      <c r="W40" s="7">
        <f>X39</f>
        <v>0.24903465010871334</v>
      </c>
      <c r="X40" s="7">
        <f>-(X25)/SQRT(X25*X25)</f>
        <v>-1</v>
      </c>
      <c r="Y40" s="7">
        <f>-(Y25)/SQRT(X25*Y26)</f>
        <v>-0.52520190916505205</v>
      </c>
      <c r="Z40" s="7">
        <f>-(Z25)/SQRT(X25*Z27)</f>
        <v>-0.15703053977783096</v>
      </c>
      <c r="AA40" s="7">
        <f>-(AA25)/SQRT(X25*AA28)</f>
        <v>0.12038601067264144</v>
      </c>
      <c r="AB40" s="7">
        <f>-(AB25)/SQRT(X25*AB29)</f>
        <v>-2.6787465260059816E-4</v>
      </c>
    </row>
    <row r="41" spans="1:28" ht="15" x14ac:dyDescent="0.25">
      <c r="A41" s="3" t="s">
        <v>49</v>
      </c>
      <c r="B41" s="3" t="s">
        <v>56</v>
      </c>
      <c r="C41" s="4">
        <f>'2020'!C41*'Bobot M'!$J41</f>
        <v>8.5586015718761726E-4</v>
      </c>
      <c r="D41" s="4">
        <f>'2020'!D41*'Bobot M'!$J41</f>
        <v>1.0944952231883775E-3</v>
      </c>
      <c r="E41" s="4">
        <f>'2020'!E41*'Bobot M'!$J41</f>
        <v>7.1875173954503334E-5</v>
      </c>
      <c r="F41" s="4">
        <f>'2020'!F41*'Bobot M'!$J41</f>
        <v>0.26708458823800596</v>
      </c>
      <c r="G41" s="4">
        <f>'2020'!G41*'Bobot M'!$J41</f>
        <v>1.0389876631047016E-4</v>
      </c>
      <c r="H41" s="4">
        <f>'2020'!H41*'Bobot M'!$J41</f>
        <v>7.8125704758797603E-4</v>
      </c>
      <c r="I41" s="4">
        <f>'2020'!I41*'Bobot M'!$J41</f>
        <v>8.2952964791715566E-4</v>
      </c>
      <c r="J41" s="4">
        <f>'2020'!J41*'Bobot M'!$J41</f>
        <v>4.881759442871914</v>
      </c>
      <c r="K41" s="4">
        <f>'2020'!K41*'Bobot M'!$J41</f>
        <v>1.5300160792295266E-5</v>
      </c>
      <c r="L41" s="4">
        <f>'2020'!L41*'Bobot M'!$J41</f>
        <v>1.0982906119120477E-4</v>
      </c>
      <c r="M41" s="4">
        <f>'2020'!M41*'Bobot M'!$J41</f>
        <v>7.5658702088412003E-4</v>
      </c>
      <c r="N41" s="4">
        <f>'2020'!N41*'Bobot M'!$J41</f>
        <v>4.174927596037157E-6</v>
      </c>
      <c r="Q41" s="7">
        <f>Y33</f>
        <v>0.16134474860965023</v>
      </c>
      <c r="R41" s="7">
        <f>Y34</f>
        <v>0.20068798350520145</v>
      </c>
      <c r="S41" s="7">
        <f>Y35</f>
        <v>0.28823219599491123</v>
      </c>
      <c r="T41" s="7">
        <f>Y36</f>
        <v>-0.28508706502246345</v>
      </c>
      <c r="U41" s="7">
        <f>Y37</f>
        <v>-0.31266278713295187</v>
      </c>
      <c r="V41" s="7">
        <f>Y38</f>
        <v>-0.29206022222839995</v>
      </c>
      <c r="W41" s="7">
        <f>Y39</f>
        <v>0.29064556044059225</v>
      </c>
      <c r="X41" s="7">
        <f>Y40</f>
        <v>-0.52520190916505205</v>
      </c>
      <c r="Y41" s="7">
        <f>-(Y26)/SQRT(Y26*Y26)</f>
        <v>-1</v>
      </c>
      <c r="Z41" s="7">
        <f>-(Z26)/SQRT(Y26*Z27)</f>
        <v>-0.37200426416759186</v>
      </c>
      <c r="AA41" s="7">
        <f>-(AA26)/SQRT(Y26*AA28)</f>
        <v>-0.13466707821661475</v>
      </c>
      <c r="AB41" s="7">
        <f>-(AB26)/SQRT(Y26*AB29)</f>
        <v>0.40719433283730561</v>
      </c>
    </row>
    <row r="42" spans="1:28" ht="15" x14ac:dyDescent="0.25">
      <c r="A42" s="3" t="s">
        <v>49</v>
      </c>
      <c r="B42" s="3" t="s">
        <v>57</v>
      </c>
      <c r="C42" s="4">
        <f>'2020'!C42*'Bobot M'!$J42</f>
        <v>1.8659291419281581E-3</v>
      </c>
      <c r="D42" s="4">
        <f>'2020'!D42*'Bobot M'!$J42</f>
        <v>2.1461854609345753E-3</v>
      </c>
      <c r="E42" s="4">
        <f>'2020'!E42*'Bobot M'!$J42</f>
        <v>5.2519392023297467E-5</v>
      </c>
      <c r="F42" s="4">
        <f>'2020'!F42*'Bobot M'!$J42</f>
        <v>1.365299619253399</v>
      </c>
      <c r="G42" s="4">
        <f>'2020'!G42*'Bobot M'!$J42</f>
        <v>2.708532837533376E-4</v>
      </c>
      <c r="H42" s="4">
        <f>'2020'!H42*'Bobot M'!$J42</f>
        <v>1.6170927212064213E-3</v>
      </c>
      <c r="I42" s="4">
        <f>'2020'!I42*'Bobot M'!$J42</f>
        <v>1.7042428040398407E-3</v>
      </c>
      <c r="J42" s="4">
        <f>'2020'!J42*'Bobot M'!$J42</f>
        <v>14.748614925990482</v>
      </c>
      <c r="K42" s="4">
        <f>'2020'!K42*'Bobot M'!$J42</f>
        <v>3.4630690810121914E-5</v>
      </c>
      <c r="L42" s="4">
        <f>'2020'!L42*'Bobot M'!$J42</f>
        <v>1.9448229011247273E-4</v>
      </c>
      <c r="M42" s="4">
        <f>'2020'!M42*'Bobot M'!$J42</f>
        <v>1.4331601779632571E-3</v>
      </c>
      <c r="N42" s="4">
        <f>'2020'!N42*'Bobot M'!$J42</f>
        <v>8.4397974954469301E-6</v>
      </c>
      <c r="Q42" s="7">
        <f>Z33</f>
        <v>0.24604612299044931</v>
      </c>
      <c r="R42" s="7">
        <f>Z34</f>
        <v>-7.0597363797192919E-2</v>
      </c>
      <c r="S42" s="7">
        <f>Z35</f>
        <v>9.4506049412001289E-2</v>
      </c>
      <c r="T42" s="7">
        <f>Z36</f>
        <v>-2.6292247893834601E-2</v>
      </c>
      <c r="U42" s="7">
        <f>Z37</f>
        <v>-0.31925607261255984</v>
      </c>
      <c r="V42" s="7">
        <f>Z38</f>
        <v>-0.40497754174595529</v>
      </c>
      <c r="W42" s="7">
        <f>Z39</f>
        <v>0.41013221920890852</v>
      </c>
      <c r="X42" s="7">
        <f>Z40</f>
        <v>-0.15703053977783096</v>
      </c>
      <c r="Y42" s="7">
        <f>Z41</f>
        <v>-0.37200426416759186</v>
      </c>
      <c r="Z42" s="7">
        <f>-(Z27)/SQRT(Z27*Z27)</f>
        <v>-1</v>
      </c>
      <c r="AA42" s="7">
        <f>-(AA27)/SQRT(Z27*AA28)</f>
        <v>-0.26152950902714101</v>
      </c>
      <c r="AB42" s="7">
        <f>-(AB27)/SQRT(Z27*AB29)</f>
        <v>0.36824694087291737</v>
      </c>
    </row>
    <row r="43" spans="1:28" x14ac:dyDescent="0.2">
      <c r="A43" s="2" t="s">
        <v>78</v>
      </c>
      <c r="C43" s="7">
        <f>SUM(C2:C42)</f>
        <v>73.369088513746433</v>
      </c>
      <c r="D43" s="7">
        <f t="shared" ref="D43:N43" si="0">SUM(D2:D42)</f>
        <v>89.904116754124274</v>
      </c>
      <c r="E43" s="7">
        <f t="shared" si="0"/>
        <v>7.4377217915344049</v>
      </c>
      <c r="F43" s="7">
        <f t="shared" si="0"/>
        <v>127551.89922259146</v>
      </c>
      <c r="G43" s="7">
        <f t="shared" si="0"/>
        <v>8.9365383934608573</v>
      </c>
      <c r="H43" s="7">
        <f t="shared" si="0"/>
        <v>70.678282712219684</v>
      </c>
      <c r="I43" s="7">
        <f t="shared" si="0"/>
        <v>74.426022679116585</v>
      </c>
      <c r="J43" s="7">
        <f t="shared" si="0"/>
        <v>466641.14223506569</v>
      </c>
      <c r="K43" s="7">
        <f t="shared" si="0"/>
        <v>3.5751561375348939</v>
      </c>
      <c r="L43" s="7">
        <f t="shared" si="0"/>
        <v>10.548323624489557</v>
      </c>
      <c r="M43" s="7">
        <f t="shared" si="0"/>
        <v>64.396257031872324</v>
      </c>
      <c r="N43" s="7">
        <f t="shared" si="0"/>
        <v>0.36831695550548943</v>
      </c>
      <c r="Q43" s="7">
        <f>AA33</f>
        <v>0.18394321318113332</v>
      </c>
      <c r="R43" s="7">
        <f>AA34</f>
        <v>0.26975998179362487</v>
      </c>
      <c r="S43" s="7">
        <f>AA35</f>
        <v>0.29813475196254613</v>
      </c>
      <c r="T43" s="7">
        <f>AA36</f>
        <v>-0.16442098007971515</v>
      </c>
      <c r="U43" s="7">
        <f>AA37</f>
        <v>-0.2696675912225186</v>
      </c>
      <c r="V43" s="7">
        <f>AA38</f>
        <v>-0.36127822174868202</v>
      </c>
      <c r="W43" s="7">
        <f>AA39</f>
        <v>0.37701487002649148</v>
      </c>
      <c r="X43" s="7">
        <f>AA40</f>
        <v>0.12038601067264144</v>
      </c>
      <c r="Y43" s="7">
        <f>AA41</f>
        <v>-0.13466707821661475</v>
      </c>
      <c r="Z43" s="7">
        <f>AA42</f>
        <v>-0.26152950902714101</v>
      </c>
      <c r="AA43" s="7">
        <f>-(AA28)/SQRT(AA28*AA28)</f>
        <v>-1</v>
      </c>
      <c r="AB43" s="7">
        <f>-(AB28)/SQRT(AA28*AB29)</f>
        <v>-3.2906168437923163E-2</v>
      </c>
    </row>
    <row r="44" spans="1:28" x14ac:dyDescent="0.2">
      <c r="A44" s="2" t="s">
        <v>79</v>
      </c>
      <c r="C44" s="7">
        <f>C225</f>
        <v>6.1283497812318348</v>
      </c>
      <c r="D44" s="7">
        <f>_xlfn.STDEV.P('2020'!D2:D42)</f>
        <v>4.3625911096237289</v>
      </c>
      <c r="E44" s="7">
        <f>_xlfn.STDEV.P('2020'!E2:E42)</f>
        <v>3.1054712134337596</v>
      </c>
      <c r="F44" s="7">
        <f>_xlfn.STDEV.P('2020'!F2:F42)</f>
        <v>114358.95399024164</v>
      </c>
      <c r="G44" s="7">
        <f>_xlfn.STDEV.P('2020'!G2:G42)</f>
        <v>1.6318088852416555</v>
      </c>
      <c r="H44" s="7">
        <f>_xlfn.STDEV.P('2020'!H2:H42)</f>
        <v>2.5444511018832872</v>
      </c>
      <c r="I44" s="7">
        <f>_xlfn.STDEV.P('2020'!I2:I42)</f>
        <v>2.4619430282040535</v>
      </c>
      <c r="J44" s="7">
        <f>_xlfn.STDEV.P('2020'!J2:J42)</f>
        <v>122257.44563554798</v>
      </c>
      <c r="K44" s="7">
        <f>_xlfn.STDEV.P('2020'!K2:K42)</f>
        <v>1.305578567378409</v>
      </c>
      <c r="L44" s="7">
        <f>_xlfn.STDEV.P('2020'!L2:L42)</f>
        <v>2.1595860477600572</v>
      </c>
      <c r="M44" s="7">
        <f>_xlfn.STDEV.P('2020'!M2:M42)</f>
        <v>3.7793113354335901</v>
      </c>
      <c r="N44" s="7">
        <f>_xlfn.STDEV.P('2020'!N2:N42)</f>
        <v>3.5741553625467451E-2</v>
      </c>
      <c r="Q44" s="7">
        <f>AB33</f>
        <v>-0.27590373319298123</v>
      </c>
      <c r="R44" s="7">
        <f>AB34</f>
        <v>0.22336445419783546</v>
      </c>
      <c r="S44" s="7">
        <f>AB35</f>
        <v>4.3468523182522062E-2</v>
      </c>
      <c r="T44" s="7">
        <f>AB36</f>
        <v>0.36524273137000973</v>
      </c>
      <c r="U44" s="7">
        <f>AB37</f>
        <v>0.47906450551271706</v>
      </c>
      <c r="V44" s="7">
        <f>AB38</f>
        <v>8.5254823929750201E-2</v>
      </c>
      <c r="W44" s="7">
        <f>AB39</f>
        <v>-6.7290445292700216E-2</v>
      </c>
      <c r="X44" s="7">
        <f>AB40</f>
        <v>-2.6787465260059816E-4</v>
      </c>
      <c r="Y44" s="7">
        <f>AB41</f>
        <v>0.40719433283730561</v>
      </c>
      <c r="Z44" s="7">
        <f>AB42</f>
        <v>0.36824694087291737</v>
      </c>
      <c r="AA44" s="7">
        <f>AB43</f>
        <v>-3.2906168437923163E-2</v>
      </c>
      <c r="AB44" s="7">
        <f>-(AB29)/SQRT(AB29*AB29)</f>
        <v>-1</v>
      </c>
    </row>
    <row r="45" spans="1:28" x14ac:dyDescent="0.2">
      <c r="A45" s="2" t="s">
        <v>70</v>
      </c>
      <c r="C45" s="7" t="str">
        <f>ROUND(C44/C43*100,3)&amp;"%"</f>
        <v>8.353%</v>
      </c>
      <c r="D45" s="2">
        <f>C44/C43</f>
        <v>8.3527680462919029E-2</v>
      </c>
      <c r="E45" s="7"/>
      <c r="F45" s="7"/>
      <c r="G45" s="7"/>
      <c r="H45" s="7"/>
      <c r="I45" s="7"/>
      <c r="J45" s="7"/>
      <c r="K45" s="7"/>
      <c r="L45" s="7"/>
      <c r="M45" s="7"/>
      <c r="N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  <c r="N46" s="1" t="s">
        <v>13</v>
      </c>
      <c r="Q46" s="7" t="s">
        <v>85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" x14ac:dyDescent="0.25">
      <c r="A47" s="3" t="s">
        <v>14</v>
      </c>
      <c r="B47" s="3" t="s">
        <v>15</v>
      </c>
      <c r="C47">
        <f>('2020'!C2-C$43)/C$44</f>
        <v>-0.28377761972275528</v>
      </c>
      <c r="D47">
        <f>('2020'!D2-D$43)/D$44</f>
        <v>0.79903964370760883</v>
      </c>
      <c r="E47">
        <f>('2020'!E2-E$43)/E$44</f>
        <v>2.3932851724127331</v>
      </c>
      <c r="F47">
        <f>('2020'!F2-F$43)/F$44</f>
        <v>-1.0829554215156543</v>
      </c>
      <c r="G47">
        <f>('2020'!G2-G$43)/G$44</f>
        <v>-0.15721105319442277</v>
      </c>
      <c r="H47">
        <f>('2020'!H2-H$43)/H$44</f>
        <v>-1.5753034944365536</v>
      </c>
      <c r="I47">
        <f>('2020'!I2-I$43)/I$44</f>
        <v>-1.4972006406685545</v>
      </c>
      <c r="J47">
        <f>('2020'!J2-J$43)/J$44</f>
        <v>1.5967195842358917</v>
      </c>
      <c r="K47">
        <f>('2020'!K2-K$43)/K$44</f>
        <v>-0.54776951414798547</v>
      </c>
      <c r="L47">
        <f>('2020'!L2-L$43)/L$44</f>
        <v>-1.4717281711400867</v>
      </c>
      <c r="M47">
        <f>('2020'!M2-M$43)/M$44</f>
        <v>-0.97802395828505073</v>
      </c>
      <c r="N47">
        <f>('2020'!N2-N$43)/N$44</f>
        <v>-1.7435435560105541</v>
      </c>
      <c r="Q47" s="7">
        <f>Q33^2</f>
        <v>1</v>
      </c>
      <c r="R47" s="7">
        <f t="shared" ref="R47:AB47" si="1">R33^2</f>
        <v>0.1644042534595834</v>
      </c>
      <c r="S47" s="7">
        <f t="shared" si="1"/>
        <v>8.3286023100668694E-9</v>
      </c>
      <c r="T47" s="7">
        <f t="shared" si="1"/>
        <v>0.17089480015793349</v>
      </c>
      <c r="U47" s="7">
        <f t="shared" si="1"/>
        <v>0.59371172990079524</v>
      </c>
      <c r="V47" s="7">
        <f t="shared" si="1"/>
        <v>0.11979451987327336</v>
      </c>
      <c r="W47" s="7">
        <f t="shared" si="1"/>
        <v>9.0269040046136478E-2</v>
      </c>
      <c r="X47" s="7">
        <f t="shared" si="1"/>
        <v>0.19260765248861803</v>
      </c>
      <c r="Y47" s="7">
        <f t="shared" si="1"/>
        <v>2.6032127903911229E-2</v>
      </c>
      <c r="Z47" s="7">
        <f t="shared" si="1"/>
        <v>6.0538694638631312E-2</v>
      </c>
      <c r="AA47" s="7">
        <f t="shared" si="1"/>
        <v>3.3835105675399858E-2</v>
      </c>
      <c r="AB47" s="7">
        <f t="shared" si="1"/>
        <v>7.6122869989823774E-2</v>
      </c>
    </row>
    <row r="48" spans="1:28" ht="15" x14ac:dyDescent="0.25">
      <c r="A48" s="3" t="s">
        <v>14</v>
      </c>
      <c r="B48" s="3" t="s">
        <v>16</v>
      </c>
      <c r="C48">
        <f>('2020'!C3-C$43)/C$44</f>
        <v>1.8521970663319358</v>
      </c>
      <c r="D48">
        <f>('2020'!D3-D$43)/D$44</f>
        <v>1.4293989716614923</v>
      </c>
      <c r="E48">
        <f>('2020'!E3-E$43)/E$44</f>
        <v>-1.2905358047428217</v>
      </c>
      <c r="F48">
        <f>('2020'!F3-F$43)/F$44</f>
        <v>2.5507866292857138</v>
      </c>
      <c r="G48">
        <f>('2020'!G3-G$43)/G$44</f>
        <v>1.650598688914644</v>
      </c>
      <c r="H48">
        <f>('2020'!H3-H$43)/H$44</f>
        <v>0.60984362663987124</v>
      </c>
      <c r="I48">
        <f>('2020'!I3-I$43)/I$44</f>
        <v>0.65557054017646821</v>
      </c>
      <c r="J48">
        <f>('2020'!J3-J$43)/J$44</f>
        <v>2.585444642015545</v>
      </c>
      <c r="K48">
        <f>('2020'!K3-K$43)/K$44</f>
        <v>-1.589453281009193</v>
      </c>
      <c r="L48">
        <f>('2020'!L3-L$43)/L$44</f>
        <v>0.11190865756940377</v>
      </c>
      <c r="M48">
        <f>('2020'!M3-M$43)/M$44</f>
        <v>-0.15512271412406986</v>
      </c>
      <c r="N48">
        <f>('2020'!N3-N$43)/N$44</f>
        <v>1.6418716743386408</v>
      </c>
      <c r="Q48" s="7">
        <f t="shared" ref="Q48:AB58" si="2">Q34^2</f>
        <v>0.1644042534595834</v>
      </c>
      <c r="R48" s="7">
        <f t="shared" si="2"/>
        <v>1</v>
      </c>
      <c r="S48" s="7">
        <f t="shared" si="2"/>
        <v>8.7298172743046604E-2</v>
      </c>
      <c r="T48" s="7">
        <f t="shared" si="2"/>
        <v>1.7785818685526519E-3</v>
      </c>
      <c r="U48" s="7">
        <f t="shared" si="2"/>
        <v>2.7186212978823957E-2</v>
      </c>
      <c r="V48" s="7">
        <f t="shared" si="2"/>
        <v>4.6669514685526584E-3</v>
      </c>
      <c r="W48" s="7">
        <f t="shared" si="2"/>
        <v>5.399231819255711E-3</v>
      </c>
      <c r="X48" s="7">
        <f t="shared" si="2"/>
        <v>2.6707859553325736E-2</v>
      </c>
      <c r="Y48" s="7">
        <f t="shared" si="2"/>
        <v>4.0275666723384007E-2</v>
      </c>
      <c r="Z48" s="7">
        <f t="shared" si="2"/>
        <v>4.983987775113205E-3</v>
      </c>
      <c r="AA48" s="7">
        <f t="shared" si="2"/>
        <v>7.2770447777296826E-2</v>
      </c>
      <c r="AB48" s="7">
        <f t="shared" si="2"/>
        <v>4.9891679399096937E-2</v>
      </c>
    </row>
    <row r="49" spans="1:28" ht="15" x14ac:dyDescent="0.25">
      <c r="A49" s="3" t="s">
        <v>14</v>
      </c>
      <c r="B49" s="3" t="s">
        <v>17</v>
      </c>
      <c r="C49">
        <f>('2020'!C4-C$43)/C$44</f>
        <v>1.5160543731865832</v>
      </c>
      <c r="D49">
        <f>('2020'!D4-D$43)/D$44</f>
        <v>1.278112732952561</v>
      </c>
      <c r="E49">
        <f>('2020'!E4-E$43)/E$44</f>
        <v>-1.0554668088229309</v>
      </c>
      <c r="F49">
        <f>('2020'!F4-F$43)/F$44</f>
        <v>1.5037148800091535</v>
      </c>
      <c r="G49">
        <f>('2020'!G4-G$43)/G$44</f>
        <v>1.6689831947666003</v>
      </c>
      <c r="H49">
        <f>('2020'!H4-H$43)/H$44</f>
        <v>0.7552580933302051</v>
      </c>
      <c r="I49">
        <f>('2020'!I4-I$43)/I$44</f>
        <v>0.72868352367686207</v>
      </c>
      <c r="J49">
        <f>('2020'!J4-J$43)/J$44</f>
        <v>0.94319701483608909</v>
      </c>
      <c r="K49">
        <f>('2020'!K4-K$43)/K$44</f>
        <v>-1.0686113975785891</v>
      </c>
      <c r="L49">
        <f>('2020'!L4-L$43)/L$44</f>
        <v>-0.58266889888212725</v>
      </c>
      <c r="M49">
        <f>('2020'!M4-M$43)/M$44</f>
        <v>-0.63933791567217269</v>
      </c>
      <c r="N49">
        <f>('2020'!N4-N$43)/N$44</f>
        <v>-0.1487611747716773</v>
      </c>
      <c r="Q49" s="7">
        <f t="shared" si="2"/>
        <v>8.3286023100668694E-9</v>
      </c>
      <c r="R49" s="7">
        <f t="shared" si="2"/>
        <v>8.7298172743046604E-2</v>
      </c>
      <c r="S49" s="7">
        <f t="shared" si="2"/>
        <v>1</v>
      </c>
      <c r="T49" s="7">
        <f t="shared" si="2"/>
        <v>8.4601141777894016E-4</v>
      </c>
      <c r="U49" s="7">
        <f t="shared" si="2"/>
        <v>2.9390032302967967E-2</v>
      </c>
      <c r="V49" s="7">
        <f t="shared" si="2"/>
        <v>8.9602998028838129E-4</v>
      </c>
      <c r="W49" s="7">
        <f t="shared" si="2"/>
        <v>1.8828274106633216E-3</v>
      </c>
      <c r="X49" s="7">
        <f t="shared" si="2"/>
        <v>5.3468779701898225E-3</v>
      </c>
      <c r="Y49" s="7">
        <f t="shared" si="2"/>
        <v>8.3077798808048928E-2</v>
      </c>
      <c r="Z49" s="7">
        <f t="shared" si="2"/>
        <v>8.9313933754636299E-3</v>
      </c>
      <c r="AA49" s="7">
        <f t="shared" si="2"/>
        <v>8.8884330327768907E-2</v>
      </c>
      <c r="AB49" s="7">
        <f t="shared" si="2"/>
        <v>1.889512507669458E-3</v>
      </c>
    </row>
    <row r="50" spans="1:28" ht="15" x14ac:dyDescent="0.25">
      <c r="A50" s="3" t="s">
        <v>14</v>
      </c>
      <c r="B50" s="3" t="s">
        <v>18</v>
      </c>
      <c r="C50">
        <f>('2020'!C5-C$43)/C$44</f>
        <v>1.3088207711018276</v>
      </c>
      <c r="D50">
        <f>('2020'!D5-D$43)/D$44</f>
        <v>1.3973079513292943</v>
      </c>
      <c r="E50">
        <f>('2020'!E5-E$43)/E$44</f>
        <v>-0.94276249571065429</v>
      </c>
      <c r="F50">
        <f>('2020'!F5-F$43)/F$44</f>
        <v>2.8154003647574659</v>
      </c>
      <c r="G50">
        <f>('2020'!G5-G$43)/G$44</f>
        <v>1.4973944734816724</v>
      </c>
      <c r="H50">
        <f>('2020'!H5-H$43)/H$44</f>
        <v>0.60591350591850879</v>
      </c>
      <c r="I50">
        <f>('2020'!I5-I$43)/I$44</f>
        <v>0.60682855117620182</v>
      </c>
      <c r="J50">
        <f>('2020'!J5-J$43)/J$44</f>
        <v>1.6824076169404942</v>
      </c>
      <c r="K50">
        <f>('2020'!K5-K$43)/K$44</f>
        <v>-1.2294596262850992</v>
      </c>
      <c r="L50">
        <f>('2020'!L5-L$43)/L$44</f>
        <v>0.19525796434358819</v>
      </c>
      <c r="M50">
        <f>('2020'!M5-M$43)/M$44</f>
        <v>-0.17629059178737627</v>
      </c>
      <c r="N50">
        <f>('2020'!N5-N$43)/N$44</f>
        <v>0.60666205844673882</v>
      </c>
      <c r="Q50" s="7">
        <f t="shared" si="2"/>
        <v>0.17089480015793349</v>
      </c>
      <c r="R50" s="7">
        <f t="shared" si="2"/>
        <v>1.7785818685526519E-3</v>
      </c>
      <c r="S50" s="7">
        <f t="shared" si="2"/>
        <v>8.4601141777894016E-4</v>
      </c>
      <c r="T50" s="7">
        <f t="shared" si="2"/>
        <v>1</v>
      </c>
      <c r="U50" s="7">
        <f t="shared" si="2"/>
        <v>0.11427109332232609</v>
      </c>
      <c r="V50" s="7">
        <f t="shared" si="2"/>
        <v>0.10368537492494564</v>
      </c>
      <c r="W50" s="7">
        <f t="shared" si="2"/>
        <v>8.5186476022852328E-2</v>
      </c>
      <c r="X50" s="7">
        <f t="shared" si="2"/>
        <v>2.2178197331490911E-3</v>
      </c>
      <c r="Y50" s="7">
        <f t="shared" si="2"/>
        <v>8.1274634643122304E-2</v>
      </c>
      <c r="Z50" s="7">
        <f t="shared" si="2"/>
        <v>6.9128229931085007E-4</v>
      </c>
      <c r="AA50" s="7">
        <f t="shared" si="2"/>
        <v>2.7034258690374086E-2</v>
      </c>
      <c r="AB50" s="7">
        <f t="shared" si="2"/>
        <v>0.13340225281862508</v>
      </c>
    </row>
    <row r="51" spans="1:28" ht="15" x14ac:dyDescent="0.25">
      <c r="A51" s="3" t="s">
        <v>14</v>
      </c>
      <c r="B51" s="3" t="s">
        <v>19</v>
      </c>
      <c r="C51">
        <f>('2020'!C6-C$43)/C$44</f>
        <v>1.3071890104554902</v>
      </c>
      <c r="D51">
        <f>('2020'!D6-D$43)/D$44</f>
        <v>1.2047618293361073</v>
      </c>
      <c r="E51">
        <f>('2020'!E6-E$43)/E$44</f>
        <v>-1.0264856997369167</v>
      </c>
      <c r="F51">
        <f>('2020'!F6-F$43)/F$44</f>
        <v>1.6493742220963625</v>
      </c>
      <c r="G51">
        <f>('2020'!G6-G$43)/G$44</f>
        <v>1.0377818271827572</v>
      </c>
      <c r="H51">
        <f>('2020'!H6-H$43)/H$44</f>
        <v>0.40940746985048504</v>
      </c>
      <c r="I51">
        <f>('2020'!I6-I$43)/I$44</f>
        <v>0.40779876275845695</v>
      </c>
      <c r="J51">
        <f>('2020'!J6-J$43)/J$44</f>
        <v>0.74565485391122699</v>
      </c>
      <c r="K51">
        <f>('2020'!K6-K$43)/K$44</f>
        <v>-1.3749889760671796</v>
      </c>
      <c r="L51">
        <f>('2020'!L6-L$43)/L$44</f>
        <v>0.7972251799349146</v>
      </c>
      <c r="M51">
        <f>('2020'!M6-M$43)/M$44</f>
        <v>-6.947570480934407E-3</v>
      </c>
      <c r="N51">
        <f>('2020'!N6-N$43)/N$44</f>
        <v>0.32687567577325133</v>
      </c>
      <c r="Q51" s="7">
        <f t="shared" si="2"/>
        <v>0.59371172990079524</v>
      </c>
      <c r="R51" s="7">
        <f t="shared" si="2"/>
        <v>2.7186212978823957E-2</v>
      </c>
      <c r="S51" s="7">
        <f t="shared" si="2"/>
        <v>2.9390032302967967E-2</v>
      </c>
      <c r="T51" s="7">
        <f t="shared" si="2"/>
        <v>0.11427109332232609</v>
      </c>
      <c r="U51" s="7">
        <f t="shared" si="2"/>
        <v>1</v>
      </c>
      <c r="V51" s="7">
        <f t="shared" si="2"/>
        <v>1.736958040150359E-2</v>
      </c>
      <c r="W51" s="7">
        <f t="shared" si="2"/>
        <v>1.0609652775852586E-2</v>
      </c>
      <c r="X51" s="7">
        <f t="shared" si="2"/>
        <v>2.0532372736435173E-2</v>
      </c>
      <c r="Y51" s="7">
        <f t="shared" si="2"/>
        <v>9.775801845774558E-2</v>
      </c>
      <c r="Z51" s="7">
        <f t="shared" si="2"/>
        <v>0.10192443989999608</v>
      </c>
      <c r="AA51" s="7">
        <f t="shared" si="2"/>
        <v>7.2720609755755394E-2</v>
      </c>
      <c r="AB51" s="7">
        <f t="shared" si="2"/>
        <v>0.22950280044214411</v>
      </c>
    </row>
    <row r="52" spans="1:28" ht="15" x14ac:dyDescent="0.25">
      <c r="A52" s="3" t="s">
        <v>14</v>
      </c>
      <c r="B52" s="3" t="s">
        <v>20</v>
      </c>
      <c r="C52">
        <f>('2020'!C7-C$43)/C$44</f>
        <v>1.1293271000047957</v>
      </c>
      <c r="D52">
        <f>('2020'!D7-D$43)/D$44</f>
        <v>0.83113066403980673</v>
      </c>
      <c r="E52">
        <f>('2020'!E7-E$43)/E$44</f>
        <v>-0.2117945220967459</v>
      </c>
      <c r="F52">
        <f>('2020'!F7-F$43)/F$44</f>
        <v>1.6137667785345104</v>
      </c>
      <c r="G52">
        <f>('2020'!G7-G$43)/G$44</f>
        <v>1.141960693677178</v>
      </c>
      <c r="H52">
        <f>('2020'!H7-H$43)/H$44</f>
        <v>0.26792312388150819</v>
      </c>
      <c r="I52">
        <f>('2020'!I7-I$43)/I$44</f>
        <v>0.28594379025779093</v>
      </c>
      <c r="J52">
        <f>('2020'!J7-J$43)/J$44</f>
        <v>1.0436898718243237</v>
      </c>
      <c r="K52">
        <f>('2020'!K7-K$43)/K$44</f>
        <v>-1.0686113975785891</v>
      </c>
      <c r="L52">
        <f>('2020'!L7-L$43)/L$44</f>
        <v>0.57496036187042443</v>
      </c>
      <c r="M52">
        <f>('2020'!M7-M$43)/M$44</f>
        <v>0.41640998278516367</v>
      </c>
      <c r="N52">
        <f>('2020'!N7-N$43)/N$44</f>
        <v>1.2501707385957583</v>
      </c>
      <c r="Q52" s="7">
        <f t="shared" si="2"/>
        <v>0.11979451987327336</v>
      </c>
      <c r="R52" s="7">
        <f t="shared" si="2"/>
        <v>4.6669514685526584E-3</v>
      </c>
      <c r="S52" s="7">
        <f t="shared" si="2"/>
        <v>8.9602998028838129E-4</v>
      </c>
      <c r="T52" s="7">
        <f t="shared" si="2"/>
        <v>0.10368537492494564</v>
      </c>
      <c r="U52" s="7">
        <f t="shared" si="2"/>
        <v>1.736958040150359E-2</v>
      </c>
      <c r="V52" s="7">
        <f t="shared" si="2"/>
        <v>1</v>
      </c>
      <c r="W52" s="7">
        <f t="shared" si="2"/>
        <v>0.99486374166742908</v>
      </c>
      <c r="X52" s="7">
        <f t="shared" si="2"/>
        <v>7.0474228457753293E-2</v>
      </c>
      <c r="Y52" s="7">
        <f t="shared" si="2"/>
        <v>8.5299173408102363E-2</v>
      </c>
      <c r="Z52" s="7">
        <f t="shared" si="2"/>
        <v>0.16400680931859696</v>
      </c>
      <c r="AA52" s="7">
        <f t="shared" si="2"/>
        <v>0.13052195350988985</v>
      </c>
      <c r="AB52" s="7">
        <f t="shared" si="2"/>
        <v>7.2683850032927077E-3</v>
      </c>
    </row>
    <row r="53" spans="1:28" ht="15" x14ac:dyDescent="0.25">
      <c r="A53" s="3" t="s">
        <v>21</v>
      </c>
      <c r="B53" s="3" t="s">
        <v>22</v>
      </c>
      <c r="C53">
        <f>('2020'!C8-C$43)/C$44</f>
        <v>-0.48448417922216303</v>
      </c>
      <c r="D53">
        <f>('2020'!D8-D$43)/D$44</f>
        <v>-0.15452210330626481</v>
      </c>
      <c r="E53">
        <f>('2020'!E8-E$43)/E$44</f>
        <v>8.1236691995173319E-2</v>
      </c>
      <c r="F53">
        <f>('2020'!F8-F$43)/F$44</f>
        <v>0.23226603471447532</v>
      </c>
      <c r="G53">
        <f>('2020'!G8-G$43)/G$44</f>
        <v>-0.39008146065253918</v>
      </c>
      <c r="H53">
        <f>('2020'!H8-H$43)/H$44</f>
        <v>-0.56526246904691435</v>
      </c>
      <c r="I53">
        <f>('2020'!I8-I$43)/I$44</f>
        <v>-0.55485551999676996</v>
      </c>
      <c r="J53">
        <f>('2020'!J8-J$43)/J$44</f>
        <v>-0.52155631015838455</v>
      </c>
      <c r="K53">
        <f>('2020'!K8-K$43)/K$44</f>
        <v>0.37136322131778571</v>
      </c>
      <c r="L53">
        <f>('2020'!L8-L$43)/L$44</f>
        <v>1.7325896226229762</v>
      </c>
      <c r="M53">
        <f>('2020'!M8-M$43)/M$44</f>
        <v>-0.46205694024199301</v>
      </c>
      <c r="N53">
        <f>('2020'!N8-N$43)/N$44</f>
        <v>0.35485431404060008</v>
      </c>
      <c r="Q53" s="7">
        <f t="shared" si="2"/>
        <v>9.0269040046136478E-2</v>
      </c>
      <c r="R53" s="7">
        <f t="shared" si="2"/>
        <v>5.399231819255711E-3</v>
      </c>
      <c r="S53" s="7">
        <f t="shared" si="2"/>
        <v>1.8828274106633216E-3</v>
      </c>
      <c r="T53" s="7">
        <f t="shared" si="2"/>
        <v>8.5186476022852328E-2</v>
      </c>
      <c r="U53" s="7">
        <f t="shared" si="2"/>
        <v>1.0609652775852586E-2</v>
      </c>
      <c r="V53" s="7">
        <f t="shared" si="2"/>
        <v>0.99486374166742908</v>
      </c>
      <c r="W53" s="7">
        <f t="shared" si="2"/>
        <v>1</v>
      </c>
      <c r="X53" s="7">
        <f t="shared" si="2"/>
        <v>6.2018256954769278E-2</v>
      </c>
      <c r="Y53" s="7">
        <f t="shared" si="2"/>
        <v>8.4474841803825959E-2</v>
      </c>
      <c r="Z53" s="7">
        <f t="shared" si="2"/>
        <v>0.16820843723322418</v>
      </c>
      <c r="AA53" s="7">
        <f t="shared" si="2"/>
        <v>0.14214021222109227</v>
      </c>
      <c r="AB53" s="7">
        <f t="shared" si="2"/>
        <v>4.5280040276898803E-3</v>
      </c>
    </row>
    <row r="54" spans="1:28" ht="15" x14ac:dyDescent="0.25">
      <c r="A54" s="3" t="s">
        <v>21</v>
      </c>
      <c r="B54" s="3" t="s">
        <v>23</v>
      </c>
      <c r="C54">
        <f>('2020'!C9-C$43)/C$44</f>
        <v>-1.0588639267326698</v>
      </c>
      <c r="D54">
        <f>('2020'!D9-D$43)/D$44</f>
        <v>-0.58087423057689125</v>
      </c>
      <c r="E54">
        <f>('2020'!E9-E$43)/E$44</f>
        <v>-0.11197070191158674</v>
      </c>
      <c r="F54">
        <f>('2020'!F9-F$43)/F$44</f>
        <v>-0.71132706608642848</v>
      </c>
      <c r="G54">
        <f>('2020'!G9-G$43)/G$44</f>
        <v>-1.1438462005827603</v>
      </c>
      <c r="H54">
        <f>('2020'!H9-H$43)/H$44</f>
        <v>-0.64779500419548186</v>
      </c>
      <c r="I54">
        <f>('2020'!I9-I$43)/I$44</f>
        <v>-0.6320303359138546</v>
      </c>
      <c r="J54">
        <f>('2020'!J9-J$43)/J$44</f>
        <v>-1.1316868393235635</v>
      </c>
      <c r="K54">
        <f>('2020'!K9-K$43)/K$44</f>
        <v>1.0070966966816108</v>
      </c>
      <c r="L54">
        <f>('2020'!L9-L$43)/L$44</f>
        <v>-0.43912287054881066</v>
      </c>
      <c r="M54">
        <f>('2020'!M9-M$43)/M$44</f>
        <v>-0.75046927340452241</v>
      </c>
      <c r="N54">
        <f>('2020'!N9-N$43)/N$44</f>
        <v>-0.96014168452478932</v>
      </c>
      <c r="Q54" s="7">
        <f t="shared" si="2"/>
        <v>0.19260765248861803</v>
      </c>
      <c r="R54" s="7">
        <f t="shared" si="2"/>
        <v>2.6707859553325736E-2</v>
      </c>
      <c r="S54" s="7">
        <f t="shared" si="2"/>
        <v>5.3468779701898225E-3</v>
      </c>
      <c r="T54" s="7">
        <f t="shared" si="2"/>
        <v>2.2178197331490911E-3</v>
      </c>
      <c r="U54" s="7">
        <f t="shared" si="2"/>
        <v>2.0532372736435173E-2</v>
      </c>
      <c r="V54" s="7">
        <f t="shared" si="2"/>
        <v>7.0474228457753293E-2</v>
      </c>
      <c r="W54" s="7">
        <f t="shared" si="2"/>
        <v>6.2018256954769278E-2</v>
      </c>
      <c r="X54" s="7">
        <f t="shared" si="2"/>
        <v>1</v>
      </c>
      <c r="Y54" s="7">
        <f t="shared" si="2"/>
        <v>0.2758370453906156</v>
      </c>
      <c r="Z54" s="7">
        <f t="shared" si="2"/>
        <v>2.4658590422916953E-2</v>
      </c>
      <c r="AA54" s="7">
        <f t="shared" si="2"/>
        <v>1.4492791565673339E-2</v>
      </c>
      <c r="AB54" s="7">
        <f t="shared" si="2"/>
        <v>7.1756829505891156E-8</v>
      </c>
    </row>
    <row r="55" spans="1:28" ht="15" x14ac:dyDescent="0.25">
      <c r="A55" s="3" t="s">
        <v>21</v>
      </c>
      <c r="B55" s="3" t="s">
        <v>24</v>
      </c>
      <c r="C55">
        <f>('2020'!C10-C$43)/C$44</f>
        <v>-1.3068915449758416</v>
      </c>
      <c r="D55">
        <f>('2020'!D10-D$43)/D$44</f>
        <v>-1.3212599139554533</v>
      </c>
      <c r="E55">
        <f>('2020'!E10-E$43)/E$44</f>
        <v>0.94100959488025449</v>
      </c>
      <c r="F55">
        <f>('2020'!F10-F$43)/F$44</f>
        <v>-0.83735969839985336</v>
      </c>
      <c r="G55">
        <f>('2020'!G10-G$43)/G$44</f>
        <v>-1.076436345792253</v>
      </c>
      <c r="H55">
        <f>('2020'!H10-H$43)/H$44</f>
        <v>-0.98578538623248246</v>
      </c>
      <c r="I55">
        <f>('2020'!I10-I$43)/I$44</f>
        <v>-0.97322425891570785</v>
      </c>
      <c r="J55">
        <f>('2020'!J10-J$43)/J$44</f>
        <v>-0.77657554303964615</v>
      </c>
      <c r="K55">
        <f>('2020'!K10-K$43)/K$44</f>
        <v>0.89986454421060447</v>
      </c>
      <c r="L55">
        <f>('2020'!L10-L$43)/L$44</f>
        <v>0.23230210068766988</v>
      </c>
      <c r="M55">
        <f>('2020'!M10-M$43)/M$44</f>
        <v>1.2869389516885825</v>
      </c>
      <c r="N55">
        <f>('2020'!N10-N$43)/N$44</f>
        <v>-0.51248347224721102</v>
      </c>
      <c r="Q55" s="7">
        <f t="shared" si="2"/>
        <v>2.6032127903911229E-2</v>
      </c>
      <c r="R55" s="7">
        <f t="shared" si="2"/>
        <v>4.0275666723384007E-2</v>
      </c>
      <c r="S55" s="7">
        <f t="shared" si="2"/>
        <v>8.3077798808048928E-2</v>
      </c>
      <c r="T55" s="7">
        <f t="shared" si="2"/>
        <v>8.1274634643122304E-2</v>
      </c>
      <c r="U55" s="7">
        <f t="shared" si="2"/>
        <v>9.775801845774558E-2</v>
      </c>
      <c r="V55" s="7">
        <f t="shared" si="2"/>
        <v>8.5299173408102363E-2</v>
      </c>
      <c r="W55" s="7">
        <f t="shared" si="2"/>
        <v>8.4474841803825959E-2</v>
      </c>
      <c r="X55" s="7">
        <f t="shared" si="2"/>
        <v>0.2758370453906156</v>
      </c>
      <c r="Y55" s="7">
        <f t="shared" si="2"/>
        <v>1</v>
      </c>
      <c r="Z55" s="7">
        <f t="shared" si="2"/>
        <v>0.13838717255887148</v>
      </c>
      <c r="AA55" s="7">
        <f t="shared" si="2"/>
        <v>1.8135221955399836E-2</v>
      </c>
      <c r="AB55" s="7">
        <f t="shared" si="2"/>
        <v>0.16580722469481843</v>
      </c>
    </row>
    <row r="56" spans="1:28" ht="15" x14ac:dyDescent="0.25">
      <c r="A56" s="3" t="s">
        <v>21</v>
      </c>
      <c r="B56" s="3" t="s">
        <v>25</v>
      </c>
      <c r="C56">
        <f>('2020'!C11-C$43)/C$44</f>
        <v>-0.15976381060116812</v>
      </c>
      <c r="D56">
        <f>('2020'!D11-D$43)/D$44</f>
        <v>0.92740372503640012</v>
      </c>
      <c r="E56">
        <f>('2020'!E11-E$43)/E$44</f>
        <v>-0.16993292008361463</v>
      </c>
      <c r="F56">
        <f>('2020'!F11-F$43)/F$44</f>
        <v>-0.40653510372750146</v>
      </c>
      <c r="G56">
        <f>('2020'!G11-G$43)/G$44</f>
        <v>1.4377668090506253E-2</v>
      </c>
      <c r="H56">
        <f>('2020'!H11-H$43)/H$44</f>
        <v>0.38975686624368377</v>
      </c>
      <c r="I56">
        <f>('2020'!I11-I$43)/I$44</f>
        <v>0.37124227100825719</v>
      </c>
      <c r="J56">
        <f>('2020'!J11-J$43)/J$44</f>
        <v>-0.81171450719571459</v>
      </c>
      <c r="K56">
        <f>('2020'!K11-K$43)/K$44</f>
        <v>1.144966607001477</v>
      </c>
      <c r="L56">
        <f>('2020'!L11-L$43)/L$44</f>
        <v>-0.91143560893585152</v>
      </c>
      <c r="M56">
        <f>('2020'!M11-M$43)/M$44</f>
        <v>-0.58112625209808244</v>
      </c>
      <c r="N56">
        <f>('2020'!N11-N$43)/N$44</f>
        <v>1.2781493768631071</v>
      </c>
      <c r="Q56" s="7">
        <f t="shared" si="2"/>
        <v>6.0538694638631312E-2</v>
      </c>
      <c r="R56" s="7">
        <f t="shared" si="2"/>
        <v>4.983987775113205E-3</v>
      </c>
      <c r="S56" s="7">
        <f t="shared" si="2"/>
        <v>8.9313933754636299E-3</v>
      </c>
      <c r="T56" s="7">
        <f t="shared" si="2"/>
        <v>6.9128229931085007E-4</v>
      </c>
      <c r="U56" s="7">
        <f t="shared" si="2"/>
        <v>0.10192443989999608</v>
      </c>
      <c r="V56" s="7">
        <f t="shared" si="2"/>
        <v>0.16400680931859696</v>
      </c>
      <c r="W56" s="7">
        <f t="shared" si="2"/>
        <v>0.16820843723322418</v>
      </c>
      <c r="X56" s="7">
        <f t="shared" si="2"/>
        <v>2.4658590422916953E-2</v>
      </c>
      <c r="Y56" s="7">
        <f t="shared" si="2"/>
        <v>0.13838717255887148</v>
      </c>
      <c r="Z56" s="7">
        <f t="shared" si="2"/>
        <v>1</v>
      </c>
      <c r="AA56" s="7">
        <f t="shared" si="2"/>
        <v>6.8397684091977426E-2</v>
      </c>
      <c r="AB56" s="7">
        <f t="shared" si="2"/>
        <v>0.13560580946226189</v>
      </c>
    </row>
    <row r="57" spans="1:28" ht="15" x14ac:dyDescent="0.25">
      <c r="A57" s="3" t="s">
        <v>21</v>
      </c>
      <c r="B57" s="3" t="s">
        <v>26</v>
      </c>
      <c r="C57">
        <f>('2020'!C12-C$43)/C$44</f>
        <v>-1.1828777358542546</v>
      </c>
      <c r="D57">
        <f>('2020'!D12-D$43)/D$44</f>
        <v>-1.7453198254880644</v>
      </c>
      <c r="E57">
        <f>('2020'!E12-E$43)/E$44</f>
        <v>0.81864491207264023</v>
      </c>
      <c r="F57">
        <f>('2020'!F12-F$43)/F$44</f>
        <v>-0.77784437614025348</v>
      </c>
      <c r="G57">
        <f>('2020'!G12-G$43)/G$44</f>
        <v>-0.86807861280341159</v>
      </c>
      <c r="H57">
        <f>('2020'!H12-H$43)/H$44</f>
        <v>-0.46700945101290242</v>
      </c>
      <c r="I57">
        <f>('2020'!I12-I$43)/I$44</f>
        <v>-0.45737154199624291</v>
      </c>
      <c r="J57">
        <f>('2020'!J12-J$43)/J$44</f>
        <v>-1.2776656785445488</v>
      </c>
      <c r="K57">
        <f>('2020'!K12-K$43)/K$44</f>
        <v>0.37136322131778571</v>
      </c>
      <c r="L57">
        <f>('2020'!L12-L$43)/L$44</f>
        <v>-0.74010647834447429</v>
      </c>
      <c r="M57">
        <f>('2020'!M12-M$43)/M$44</f>
        <v>-0.86953858526061367</v>
      </c>
      <c r="N57">
        <f>('2020'!N12-N$43)/N$44</f>
        <v>-0.45652619571251352</v>
      </c>
      <c r="Q57" s="7">
        <f t="shared" si="2"/>
        <v>3.3835105675399858E-2</v>
      </c>
      <c r="R57" s="7">
        <f t="shared" si="2"/>
        <v>7.2770447777296826E-2</v>
      </c>
      <c r="S57" s="7">
        <f t="shared" si="2"/>
        <v>8.8884330327768907E-2</v>
      </c>
      <c r="T57" s="7">
        <f t="shared" si="2"/>
        <v>2.7034258690374086E-2</v>
      </c>
      <c r="U57" s="7">
        <f t="shared" si="2"/>
        <v>7.2720609755755394E-2</v>
      </c>
      <c r="V57" s="7">
        <f t="shared" si="2"/>
        <v>0.13052195350988985</v>
      </c>
      <c r="W57" s="7">
        <f t="shared" si="2"/>
        <v>0.14214021222109227</v>
      </c>
      <c r="X57" s="7">
        <f t="shared" si="2"/>
        <v>1.4492791565673339E-2</v>
      </c>
      <c r="Y57" s="7">
        <f t="shared" si="2"/>
        <v>1.8135221955399836E-2</v>
      </c>
      <c r="Z57" s="7">
        <f t="shared" si="2"/>
        <v>6.8397684091977426E-2</v>
      </c>
      <c r="AA57" s="7">
        <f t="shared" si="2"/>
        <v>1</v>
      </c>
      <c r="AB57" s="7">
        <f t="shared" si="2"/>
        <v>1.0828159212649706E-3</v>
      </c>
    </row>
    <row r="58" spans="1:28" ht="15" x14ac:dyDescent="0.25">
      <c r="A58" s="3" t="s">
        <v>21</v>
      </c>
      <c r="B58" s="3" t="s">
        <v>27</v>
      </c>
      <c r="C58">
        <f>('2020'!C13-C$43)/C$44</f>
        <v>-1.2563069649394047</v>
      </c>
      <c r="D58">
        <f>('2020'!D13-D$43)/D$44</f>
        <v>-0.89032335520879957</v>
      </c>
      <c r="E58">
        <f>('2020'!E13-E$43)/E$44</f>
        <v>0.93456934841669592</v>
      </c>
      <c r="F58">
        <f>('2020'!F13-F$43)/F$44</f>
        <v>-0.90248323914713502</v>
      </c>
      <c r="G58">
        <f>('2020'!G13-G$43)/G$44</f>
        <v>-0.97225747929783235</v>
      </c>
      <c r="H58">
        <f>('2020'!H13-H$43)/H$44</f>
        <v>-1.2451733538422725</v>
      </c>
      <c r="I58">
        <f>('2020'!I13-I$43)/I$44</f>
        <v>-1.2331815335837857</v>
      </c>
      <c r="J58">
        <f>('2020'!J13-J$43)/J$44</f>
        <v>-1.1677091852600918</v>
      </c>
      <c r="K58">
        <f>('2020'!K13-K$43)/K$44</f>
        <v>1.5815546563477181</v>
      </c>
      <c r="L58">
        <f>('2020'!L13-L$43)/L$44</f>
        <v>-1.5874910972153418</v>
      </c>
      <c r="M58">
        <f>('2020'!M13-M$43)/M$44</f>
        <v>1.3610265235101502</v>
      </c>
      <c r="N58">
        <f>('2020'!N13-N$43)/N$44</f>
        <v>-0.7083339401186507</v>
      </c>
      <c r="Q58" s="7">
        <f t="shared" si="2"/>
        <v>7.6122869989823774E-2</v>
      </c>
      <c r="R58" s="7">
        <f t="shared" si="2"/>
        <v>4.9891679399096937E-2</v>
      </c>
      <c r="S58" s="7">
        <f t="shared" si="2"/>
        <v>1.889512507669458E-3</v>
      </c>
      <c r="T58" s="7">
        <f t="shared" si="2"/>
        <v>0.13340225281862508</v>
      </c>
      <c r="U58" s="7">
        <f t="shared" si="2"/>
        <v>0.22950280044214411</v>
      </c>
      <c r="V58" s="7">
        <f t="shared" si="2"/>
        <v>7.2683850032927077E-3</v>
      </c>
      <c r="W58" s="7">
        <f t="shared" si="2"/>
        <v>4.5280040276898803E-3</v>
      </c>
      <c r="X58" s="7">
        <f t="shared" si="2"/>
        <v>7.1756829505891156E-8</v>
      </c>
      <c r="Y58" s="7">
        <f t="shared" si="2"/>
        <v>0.16580722469481843</v>
      </c>
      <c r="Z58" s="7">
        <f t="shared" si="2"/>
        <v>0.13560580946226189</v>
      </c>
      <c r="AA58" s="7">
        <f t="shared" si="2"/>
        <v>1.0828159212649706E-3</v>
      </c>
      <c r="AB58" s="7">
        <f t="shared" si="2"/>
        <v>1</v>
      </c>
    </row>
    <row r="59" spans="1:28" ht="15" x14ac:dyDescent="0.25">
      <c r="A59" s="3" t="s">
        <v>21</v>
      </c>
      <c r="B59" s="3" t="s">
        <v>28</v>
      </c>
      <c r="C59">
        <f>('2020'!C14-C$43)/C$44</f>
        <v>-0.46979833340513483</v>
      </c>
      <c r="D59">
        <f>('2020'!D14-D$43)/D$44</f>
        <v>-0.75508262666596559</v>
      </c>
      <c r="E59">
        <f>('2020'!E14-E$43)/E$44</f>
        <v>5.8695829372717903E-2</v>
      </c>
      <c r="F59">
        <f>('2020'!F14-F$43)/F$44</f>
        <v>-0.92324637064799331</v>
      </c>
      <c r="G59">
        <f>('2020'!G14-G$43)/G$44</f>
        <v>-0.75777157769167158</v>
      </c>
      <c r="H59">
        <f>('2020'!H14-H$43)/H$44</f>
        <v>-0.29801425999439934</v>
      </c>
      <c r="I59">
        <f>('2020'!I14-I$43)/I$44</f>
        <v>-0.28677458049531623</v>
      </c>
      <c r="J59">
        <f>('2020'!J14-J$43)/J$44</f>
        <v>-0.72415337793810008</v>
      </c>
      <c r="K59">
        <f>('2020'!K14-K$43)/K$44</f>
        <v>1.1756043648503363</v>
      </c>
      <c r="L59">
        <f>('2020'!L14-L$43)/L$44</f>
        <v>-2.263546585494832</v>
      </c>
      <c r="M59">
        <f>('2020'!M14-M$43)/M$44</f>
        <v>1.8558256638899016</v>
      </c>
      <c r="N59">
        <f>('2020'!N14-N$43)/N$44</f>
        <v>-0.90418440799009181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" x14ac:dyDescent="0.25">
      <c r="A60" s="3" t="s">
        <v>21</v>
      </c>
      <c r="B60" s="3" t="s">
        <v>29</v>
      </c>
      <c r="C60">
        <f>('2020'!C15-C$43)/C$44</f>
        <v>-0.65092376514850425</v>
      </c>
      <c r="D60">
        <f>('2020'!D15-D$43)/D$44</f>
        <v>-0.70923831190568254</v>
      </c>
      <c r="E60">
        <f>('2020'!E15-E$43)/E$44</f>
        <v>1.7331599098979702</v>
      </c>
      <c r="F60">
        <f>('2020'!F15-F$43)/F$44</f>
        <v>-0.96773479785443794</v>
      </c>
      <c r="G60">
        <f>('2020'!G15-G$43)/G$44</f>
        <v>-0.83743776971681683</v>
      </c>
      <c r="H60">
        <f>('2020'!H15-H$43)/H$44</f>
        <v>0.40940746985048504</v>
      </c>
      <c r="I60">
        <f>('2020'!I15-I$43)/I$44</f>
        <v>0.40373693034176616</v>
      </c>
      <c r="J60">
        <f>('2020'!J15-J$43)/J$44</f>
        <v>-0.93477449689032555</v>
      </c>
      <c r="K60">
        <f>('2020'!K15-K$43)/K$44</f>
        <v>-4.9905949104026057E-2</v>
      </c>
      <c r="L60">
        <f>('2020'!L15-L$43)/L$44</f>
        <v>0.31102089041884334</v>
      </c>
      <c r="M60">
        <f>('2020'!M15-M$43)/M$44</f>
        <v>-0.63933791567217269</v>
      </c>
      <c r="N60">
        <f>('2020'!N15-N$43)/N$44</f>
        <v>-0.20471845130637481</v>
      </c>
      <c r="Q60" s="7" t="s">
        <v>86</v>
      </c>
      <c r="R60" s="7">
        <f>SUM(Q47:AB58)-12</f>
        <v>11.84940709404087</v>
      </c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" x14ac:dyDescent="0.25">
      <c r="A61" s="3" t="s">
        <v>21</v>
      </c>
      <c r="B61" s="3" t="s">
        <v>30</v>
      </c>
      <c r="C61">
        <f>('2020'!C16-C$43)/C$44</f>
        <v>-0.75372468586771313</v>
      </c>
      <c r="D61">
        <f>('2020'!D16-D$43)/D$44</f>
        <v>-1.4748383684023998</v>
      </c>
      <c r="E61">
        <f>('2020'!E16-E$43)/E$44</f>
        <v>1.2243804392768358</v>
      </c>
      <c r="F61">
        <f>('2020'!F16-F$43)/F$44</f>
        <v>-0.82414053236822815</v>
      </c>
      <c r="G61">
        <f>('2020'!G16-G$43)/G$44</f>
        <v>-1.2357687298425435</v>
      </c>
      <c r="H61">
        <f>('2020'!H16-H$43)/H$44</f>
        <v>-0.23513232845263307</v>
      </c>
      <c r="I61">
        <f>('2020'!I16-I$43)/I$44</f>
        <v>-0.22584709424498325</v>
      </c>
      <c r="J61">
        <f>('2020'!J16-J$43)/J$44</f>
        <v>-0.59864772942536415</v>
      </c>
      <c r="K61">
        <f>('2020'!K16-K$43)/K$44</f>
        <v>1.4053875487167788</v>
      </c>
      <c r="L61">
        <f>('2020'!L16-L$43)/L$44</f>
        <v>0.44993640170914906</v>
      </c>
      <c r="M61">
        <f>('2020'!M16-M$43)/M$44</f>
        <v>-0.16041468353989694</v>
      </c>
      <c r="N61">
        <f>('2020'!N16-N$43)/N$44</f>
        <v>-0.84822713145539441</v>
      </c>
    </row>
    <row r="62" spans="1:28" ht="15" x14ac:dyDescent="0.25">
      <c r="A62" s="3" t="s">
        <v>21</v>
      </c>
      <c r="B62" s="3" t="s">
        <v>31</v>
      </c>
      <c r="C62">
        <f>('2020'!C17-C$43)/C$44</f>
        <v>-0.94300892084276544</v>
      </c>
      <c r="D62">
        <f>('2020'!D17-D$43)/D$44</f>
        <v>-0.91553772832695479</v>
      </c>
      <c r="E62">
        <f>('2020'!E17-E$43)/E$44</f>
        <v>1.2855627806806431</v>
      </c>
      <c r="F62">
        <f>('2020'!F17-F$43)/F$44</f>
        <v>-0.92513402345057505</v>
      </c>
      <c r="G62">
        <f>('2020'!G17-G$43)/G$44</f>
        <v>-1.0212828282363833</v>
      </c>
      <c r="H62">
        <f>('2020'!H17-H$43)/H$44</f>
        <v>-0.93076369613343557</v>
      </c>
      <c r="I62">
        <f>('2020'!I17-I$43)/I$44</f>
        <v>-0.9122967726653749</v>
      </c>
      <c r="J62">
        <f>('2020'!J17-J$43)/J$44</f>
        <v>-0.10993311830782922</v>
      </c>
      <c r="K62">
        <f>('2020'!K17-K$43)/K$44</f>
        <v>0.45561705540214831</v>
      </c>
      <c r="L62">
        <f>('2020'!L17-L$43)/L$44</f>
        <v>-2.1801972787206485</v>
      </c>
      <c r="M62">
        <f>('2020'!M17-M$43)/M$44</f>
        <v>1.3927783400051053</v>
      </c>
      <c r="N62">
        <f>('2020'!N17-N$43)/N$44</f>
        <v>-0.90418440799009181</v>
      </c>
    </row>
    <row r="63" spans="1:28" ht="15" x14ac:dyDescent="0.25">
      <c r="A63" s="3" t="s">
        <v>21</v>
      </c>
      <c r="B63" s="3" t="s">
        <v>32</v>
      </c>
      <c r="C63">
        <f>('2020'!C18-C$43)/C$44</f>
        <v>-0.28214585907641776</v>
      </c>
      <c r="D63">
        <f>('2020'!D18-D$43)/D$44</f>
        <v>1.2093462608121379</v>
      </c>
      <c r="E63">
        <f>('2020'!E18-E$43)/E$44</f>
        <v>0.90880836256246134</v>
      </c>
      <c r="F63">
        <f>('2020'!F18-F$43)/F$44</f>
        <v>-0.90842811688760483</v>
      </c>
      <c r="G63">
        <f>('2020'!G18-G$43)/G$44</f>
        <v>-0.26138991968884351</v>
      </c>
      <c r="H63">
        <f>('2020'!H18-H$43)/H$44</f>
        <v>-6.2207016712773067E-2</v>
      </c>
      <c r="I63">
        <f>('2020'!I18-I$43)/I$44</f>
        <v>-5.1188300327371573E-2</v>
      </c>
      <c r="J63">
        <f>('2020'!J18-J$43)/J$44</f>
        <v>-0.9287707725675709</v>
      </c>
      <c r="K63">
        <f>('2020'!K18-K$43)/K$44</f>
        <v>0.33306602400671204</v>
      </c>
      <c r="L63">
        <f>('2020'!L18-L$43)/L$44</f>
        <v>-0.30483787630151421</v>
      </c>
      <c r="M63">
        <f>('2020'!M18-M$43)/M$44</f>
        <v>1.2075594104511858</v>
      </c>
      <c r="N63">
        <f>('2020'!N18-N$43)/N$44</f>
        <v>0.43879022884264635</v>
      </c>
    </row>
    <row r="64" spans="1:28" ht="15" x14ac:dyDescent="0.25">
      <c r="A64" s="3" t="s">
        <v>21</v>
      </c>
      <c r="B64" s="3" t="s">
        <v>33</v>
      </c>
      <c r="C64">
        <f>('2020'!C19-C$43)/C$44</f>
        <v>-0.99196174023286476</v>
      </c>
      <c r="D64">
        <f>('2020'!D19-D$43)/D$44</f>
        <v>-0.40208140301178952</v>
      </c>
      <c r="E64">
        <f>('2020'!E19-E$43)/E$44</f>
        <v>1.6945184311166179</v>
      </c>
      <c r="F64">
        <f>('2020'!F19-F$43)/F$44</f>
        <v>-0.59769608620610493</v>
      </c>
      <c r="G64">
        <f>('2020'!G19-G$43)/G$44</f>
        <v>-1.6157151841163133</v>
      </c>
      <c r="H64">
        <f>('2020'!H19-H$43)/H$44</f>
        <v>-0.37661667442160995</v>
      </c>
      <c r="I64">
        <f>('2020'!I19-I$43)/I$44</f>
        <v>-0.36801122882909165</v>
      </c>
      <c r="J64">
        <f>('2020'!J19-J$43)/J$44</f>
        <v>6.6792314549715848E-2</v>
      </c>
      <c r="K64">
        <f>('2020'!K19-K$43)/K$44</f>
        <v>0.53987088948651096</v>
      </c>
      <c r="L64">
        <f>('2020'!L19-L$43)/L$44</f>
        <v>-0.61971303522620813</v>
      </c>
      <c r="M64">
        <f>('2020'!M19-M$43)/M$44</f>
        <v>1.3583805388022359</v>
      </c>
      <c r="N64">
        <f>('2020'!N19-N$43)/N$44</f>
        <v>-1.3798212585350205</v>
      </c>
    </row>
    <row r="65" spans="1:14" ht="15" x14ac:dyDescent="0.25">
      <c r="A65" s="3" t="s">
        <v>21</v>
      </c>
      <c r="B65" s="3" t="s">
        <v>34</v>
      </c>
      <c r="C65">
        <f>('2020'!C20-C$43)/C$44</f>
        <v>-0.72108947294097947</v>
      </c>
      <c r="D65">
        <f>('2020'!D20-D$43)/D$44</f>
        <v>0.1434659426355703</v>
      </c>
      <c r="E65">
        <f>('2020'!E20-E$43)/E$44</f>
        <v>0.60289665554342509</v>
      </c>
      <c r="F65">
        <f>('2020'!F20-F$43)/F$44</f>
        <v>-0.86751037641579798</v>
      </c>
      <c r="G65">
        <f>('2020'!G20-G$43)/G$44</f>
        <v>-1.125461694730804</v>
      </c>
      <c r="H65">
        <f>('2020'!H20-H$43)/H$44</f>
        <v>-8.578774104093681E-2</v>
      </c>
      <c r="I65">
        <f>('2020'!I20-I$43)/I$44</f>
        <v>-8.3682959660880588E-2</v>
      </c>
      <c r="J65">
        <f>('2020'!J20-J$43)/J$44</f>
        <v>-0.93864338191030239</v>
      </c>
      <c r="K65">
        <f>('2020'!K20-K$43)/K$44</f>
        <v>0.94582118098389278</v>
      </c>
      <c r="L65">
        <f>('2020'!L20-L$43)/L$44</f>
        <v>-0.49468907506493276</v>
      </c>
      <c r="M65">
        <f>('2020'!M20-M$43)/M$44</f>
        <v>0.60956686646282265</v>
      </c>
      <c r="N65">
        <f>('2020'!N20-N$43)/N$44</f>
        <v>-0.51248347224721102</v>
      </c>
    </row>
    <row r="66" spans="1:14" ht="15" x14ac:dyDescent="0.25">
      <c r="A66" s="3" t="s">
        <v>21</v>
      </c>
      <c r="B66" s="3" t="s">
        <v>35</v>
      </c>
      <c r="C66">
        <f>('2020'!C21-C$43)/C$44</f>
        <v>-0.41595023207602527</v>
      </c>
      <c r="D66">
        <f>('2020'!D21-D$43)/D$44</f>
        <v>-0.76654370535603555</v>
      </c>
      <c r="E66">
        <f>('2020'!E21-E$43)/E$44</f>
        <v>0.26800383943837425</v>
      </c>
      <c r="F66">
        <f>('2020'!F21-F$43)/F$44</f>
        <v>-0.71930230517507765</v>
      </c>
      <c r="G66">
        <f>('2020'!G21-G$43)/G$44</f>
        <v>-0.51877300161623596</v>
      </c>
      <c r="H66">
        <f>('2020'!H21-H$43)/H$44</f>
        <v>-0.6399347627527624</v>
      </c>
      <c r="I66">
        <f>('2020'!I21-I$43)/I$44</f>
        <v>-0.62390667108047881</v>
      </c>
      <c r="J66">
        <f>('2020'!J21-J$43)/J$44</f>
        <v>-0.72268925443159715</v>
      </c>
      <c r="K66">
        <f>('2020'!K21-K$43)/K$44</f>
        <v>0.38668210024221555</v>
      </c>
      <c r="L66">
        <f>('2020'!L21-L$43)/L$44</f>
        <v>0.2415631347736901</v>
      </c>
      <c r="M66">
        <f>('2020'!M21-M$43)/M$44</f>
        <v>-0.92245827941887681</v>
      </c>
      <c r="N66">
        <f>('2020'!N21-N$43)/N$44</f>
        <v>1.2781493768631071</v>
      </c>
    </row>
    <row r="67" spans="1:14" ht="15" x14ac:dyDescent="0.25">
      <c r="A67" s="3" t="s">
        <v>21</v>
      </c>
      <c r="B67" s="3" t="s">
        <v>36</v>
      </c>
      <c r="C67">
        <f>('2020'!C22-C$43)/C$44</f>
        <v>-0.44205840241741129</v>
      </c>
      <c r="D67">
        <f>('2020'!D22-D$43)/D$44</f>
        <v>4.9485097376992103E-2</v>
      </c>
      <c r="E67">
        <f>('2020'!E22-E$43)/E$44</f>
        <v>0.26478371620659502</v>
      </c>
      <c r="F67">
        <f>('2020'!F22-F$43)/F$44</f>
        <v>0.26371954031672945</v>
      </c>
      <c r="G67">
        <f>('2020'!G22-G$43)/G$44</f>
        <v>-0.7148743973704399</v>
      </c>
      <c r="H67">
        <f>('2020'!H22-H$43)/H$44</f>
        <v>-0.16832027618950432</v>
      </c>
      <c r="I67">
        <f>('2020'!I22-I$43)/I$44</f>
        <v>-0.16085777557796521</v>
      </c>
      <c r="J67">
        <f>('2020'!J22-J$43)/J$44</f>
        <v>-4.0009198010224857E-3</v>
      </c>
      <c r="K67">
        <f>('2020'!K22-K$43)/K$44</f>
        <v>0.16455835583798745</v>
      </c>
      <c r="L67">
        <f>('2020'!L22-L$43)/L$44</f>
        <v>0.44993640170914906</v>
      </c>
      <c r="M67">
        <f>('2020'!M22-M$43)/M$44</f>
        <v>0.13328961903846137</v>
      </c>
      <c r="N67">
        <f>('2020'!N22-N$43)/N$44</f>
        <v>-1.1559921523962307</v>
      </c>
    </row>
    <row r="68" spans="1:14" ht="15" x14ac:dyDescent="0.25">
      <c r="A68" s="3" t="s">
        <v>21</v>
      </c>
      <c r="B68" s="3" t="s">
        <v>37</v>
      </c>
      <c r="C68">
        <f>('2020'!C23-C$43)/C$44</f>
        <v>0.1143719779833899</v>
      </c>
      <c r="D68">
        <f>('2020'!D23-D$43)/D$44</f>
        <v>-0.303516126277184</v>
      </c>
      <c r="E68">
        <f>('2020'!E23-E$43)/E$44</f>
        <v>-0.84293867552549484</v>
      </c>
      <c r="F68">
        <f>('2020'!F23-F$43)/F$44</f>
        <v>1.009273753826547</v>
      </c>
      <c r="G68">
        <f>('2020'!G23-G$43)/G$44</f>
        <v>0.11242836596760715</v>
      </c>
      <c r="H68">
        <f>('2020'!H23-H$43)/H$44</f>
        <v>0.44477855634273067</v>
      </c>
      <c r="I68">
        <f>('2020'!I23-I$43)/I$44</f>
        <v>0.4362315896752752</v>
      </c>
      <c r="J68">
        <f>('2020'!J23-J$43)/J$44</f>
        <v>0.42554347094756489</v>
      </c>
      <c r="K68">
        <f>('2020'!K23-K$43)/K$44</f>
        <v>-1.0073358818808713</v>
      </c>
      <c r="L68">
        <f>('2020'!L23-L$43)/L$44</f>
        <v>0.45919743579516931</v>
      </c>
      <c r="M68">
        <f>('2020'!M23-M$43)/M$44</f>
        <v>-4.3991356391718271E-2</v>
      </c>
      <c r="N68">
        <f>('2020'!N23-N$43)/N$44</f>
        <v>0.10304656963446139</v>
      </c>
    </row>
    <row r="69" spans="1:14" ht="15" x14ac:dyDescent="0.25">
      <c r="A69" s="3" t="s">
        <v>21</v>
      </c>
      <c r="B69" s="3" t="s">
        <v>38</v>
      </c>
      <c r="C69">
        <f>('2020'!C24-C$43)/C$44</f>
        <v>-0.86305264917226976</v>
      </c>
      <c r="D69">
        <f>('2020'!D24-D$43)/D$44</f>
        <v>-2.4857055088666264</v>
      </c>
      <c r="E69">
        <f>('2020'!E24-E$43)/E$44</f>
        <v>0.98287119689338609</v>
      </c>
      <c r="F69">
        <f>('2020'!F24-F$43)/F$44</f>
        <v>-0.84743245579931592</v>
      </c>
      <c r="G69">
        <f>('2020'!G24-G$43)/G$44</f>
        <v>-0.45749131544304744</v>
      </c>
      <c r="H69">
        <f>('2020'!H24-H$43)/H$44</f>
        <v>-9.7578103205013089E-2</v>
      </c>
      <c r="I69">
        <f>('2020'!I24-I$43)/I$44</f>
        <v>-9.1806624494256389E-2</v>
      </c>
      <c r="J69">
        <f>('2020'!J24-J$43)/J$44</f>
        <v>-0.85417408888429724</v>
      </c>
      <c r="K69">
        <f>('2020'!K24-K$43)/K$44</f>
        <v>1.144966607001477</v>
      </c>
      <c r="L69">
        <f>('2020'!L24-L$43)/L$44</f>
        <v>0.7879641458488944</v>
      </c>
      <c r="M69">
        <f>('2020'!M24-M$43)/M$44</f>
        <v>-1.187056750210189</v>
      </c>
      <c r="N69">
        <f>('2020'!N24-N$43)/N$44</f>
        <v>0.21496112270385637</v>
      </c>
    </row>
    <row r="70" spans="1:14" ht="15" x14ac:dyDescent="0.25">
      <c r="A70" s="3" t="s">
        <v>21</v>
      </c>
      <c r="B70" s="3" t="s">
        <v>39</v>
      </c>
      <c r="C70">
        <f>('2020'!C25-C$43)/C$44</f>
        <v>-0.86631617046494247</v>
      </c>
      <c r="D70">
        <f>('2020'!D25-D$43)/D$44</f>
        <v>-2.84502377154888E-2</v>
      </c>
      <c r="E70">
        <f>('2020'!E25-E$43)/E$44</f>
        <v>0.49985271212648635</v>
      </c>
      <c r="F70">
        <f>('2020'!F25-F$43)/F$44</f>
        <v>-1.0476917201674929</v>
      </c>
      <c r="G70">
        <f>('2020'!G25-G$43)/G$44</f>
        <v>-0.73325890322239606</v>
      </c>
      <c r="H70">
        <f>('2020'!H25-H$43)/H$44</f>
        <v>-0.46700945101290242</v>
      </c>
      <c r="I70">
        <f>('2020'!I25-I$43)/I$44</f>
        <v>-0.46143337441292792</v>
      </c>
      <c r="J70">
        <f>('2020'!J25-J$43)/J$44</f>
        <v>-0.69015953831225729</v>
      </c>
      <c r="K70">
        <f>('2020'!K25-K$43)/K$44</f>
        <v>0.6241247235708729</v>
      </c>
      <c r="L70">
        <f>('2020'!L25-L$43)/L$44</f>
        <v>-2.5321165739894238</v>
      </c>
      <c r="M70">
        <f>('2020'!M25-M$43)/M$44</f>
        <v>3.2793654367471641</v>
      </c>
      <c r="N70">
        <f>('2020'!N25-N$43)/N$44</f>
        <v>-0.93216304625744062</v>
      </c>
    </row>
    <row r="71" spans="1:14" ht="15" x14ac:dyDescent="0.25">
      <c r="A71" s="3" t="s">
        <v>21</v>
      </c>
      <c r="B71" s="3" t="s">
        <v>40</v>
      </c>
      <c r="C71">
        <f>('2020'!C26-C$43)/C$44</f>
        <v>0.44725114983606995</v>
      </c>
      <c r="D71">
        <f>('2020'!D26-D$43)/D$44</f>
        <v>0.25578451379826106</v>
      </c>
      <c r="E71">
        <f>('2020'!E26-E$43)/E$44</f>
        <v>-0.24399575441453938</v>
      </c>
      <c r="F71">
        <f>('2020'!F26-F$43)/F$44</f>
        <v>-0.83412059916822168</v>
      </c>
      <c r="G71">
        <f>('2020'!G26-G$43)/G$44</f>
        <v>0.85393676866319079</v>
      </c>
      <c r="H71">
        <f>('2020'!H26-H$43)/H$44</f>
        <v>0.41726771129320445</v>
      </c>
      <c r="I71">
        <f>('2020'!I26-I$43)/I$44</f>
        <v>0.41186059517514201</v>
      </c>
      <c r="J71">
        <f>('2020'!J26-J$43)/J$44</f>
        <v>0.66055574239359771</v>
      </c>
      <c r="K71">
        <f>('2020'!K26-K$43)/K$44</f>
        <v>-0.47883455898805238</v>
      </c>
      <c r="L71">
        <f>('2020'!L26-L$43)/L$44</f>
        <v>0.9870763786983332</v>
      </c>
      <c r="M71">
        <f>('2020'!M26-M$43)/M$44</f>
        <v>-0.94891812649800655</v>
      </c>
      <c r="N71">
        <f>('2020'!N26-N$43)/N$44</f>
        <v>1.2221921003284095</v>
      </c>
    </row>
    <row r="72" spans="1:14" ht="15" x14ac:dyDescent="0.25">
      <c r="A72" s="3" t="s">
        <v>21</v>
      </c>
      <c r="B72" s="3" t="s">
        <v>41</v>
      </c>
      <c r="C72">
        <f>('2020'!C27-C$43)/C$44</f>
        <v>0.13721662703210324</v>
      </c>
      <c r="D72">
        <f>('2020'!D27-D$43)/D$44</f>
        <v>0.33371984889074197</v>
      </c>
      <c r="E72">
        <f>('2020'!E27-E$43)/E$44</f>
        <v>8.4456815226952572E-2</v>
      </c>
      <c r="F72">
        <f>('2020'!F27-F$43)/F$44</f>
        <v>-1.0407333669101879</v>
      </c>
      <c r="G72">
        <f>('2020'!G27-G$43)/G$44</f>
        <v>0.40045229098159435</v>
      </c>
      <c r="H72">
        <f>('2020'!H27-H$43)/H$44</f>
        <v>-6.2207016712773067E-2</v>
      </c>
      <c r="I72">
        <f>('2020'!I27-I$43)/I$44</f>
        <v>-5.9311965160747382E-2</v>
      </c>
      <c r="J72">
        <f>('2020'!J27-J$43)/J$44</f>
        <v>0.66068661376848059</v>
      </c>
      <c r="K72">
        <f>('2020'!K27-K$43)/K$44</f>
        <v>5.7326203366980702E-2</v>
      </c>
      <c r="L72">
        <f>('2020'!L27-L$43)/L$44</f>
        <v>0.75092000950481275</v>
      </c>
      <c r="M72">
        <f>('2020'!M27-M$43)/M$44</f>
        <v>-2.2904323734099594</v>
      </c>
      <c r="N72">
        <f>('2020'!N27-N$43)/N$44</f>
        <v>0.80251252631818004</v>
      </c>
    </row>
    <row r="73" spans="1:14" ht="15" x14ac:dyDescent="0.25">
      <c r="A73" s="3" t="s">
        <v>21</v>
      </c>
      <c r="B73" s="3" t="s">
        <v>42</v>
      </c>
      <c r="C73">
        <f>('2020'!C28-C$43)/C$44</f>
        <v>1.3284018988578683</v>
      </c>
      <c r="D73">
        <f>('2020'!D28-D$43)/D$44</f>
        <v>1.0947354739114319</v>
      </c>
      <c r="E73">
        <f>('2020'!E28-E$43)/E$44</f>
        <v>-1.1102089037631793</v>
      </c>
      <c r="F73">
        <f>('2020'!F28-F$43)/F$44</f>
        <v>0.57357162241100657</v>
      </c>
      <c r="G73">
        <f>('2020'!G28-G$43)/G$44</f>
        <v>1.1113198505905832</v>
      </c>
      <c r="H73">
        <f>('2020'!H28-H$43)/H$44</f>
        <v>0.69630628250980131</v>
      </c>
      <c r="I73">
        <f>('2020'!I28-I$43)/I$44</f>
        <v>0.62713771325964429</v>
      </c>
      <c r="J73">
        <f>('2020'!J28-J$43)/J$44</f>
        <v>0.27655459010427214</v>
      </c>
      <c r="K73">
        <f>('2020'!K28-K$43)/K$44</f>
        <v>-0.5784072719968445</v>
      </c>
      <c r="L73">
        <f>('2020'!L28-L$43)/L$44</f>
        <v>0.29712933928981222</v>
      </c>
      <c r="M73">
        <f>('2020'!M28-M$43)/M$44</f>
        <v>8.3015909588108894E-2</v>
      </c>
      <c r="N73">
        <f>('2020'!N28-N$43)/N$44</f>
        <v>0.94240571765492376</v>
      </c>
    </row>
    <row r="74" spans="1:14" ht="15" x14ac:dyDescent="0.25">
      <c r="A74" s="3" t="s">
        <v>21</v>
      </c>
      <c r="B74" s="3" t="s">
        <v>43</v>
      </c>
      <c r="C74">
        <f>('2020'!C29-C$43)/C$44</f>
        <v>0.2481763509829974</v>
      </c>
      <c r="D74">
        <f>('2020'!D29-D$43)/D$44</f>
        <v>1.0282612175090209</v>
      </c>
      <c r="E74">
        <f>('2020'!E29-E$43)/E$44</f>
        <v>0.67051924341079072</v>
      </c>
      <c r="F74">
        <f>('2020'!F29-F$43)/F$44</f>
        <v>-0.96978579597759329</v>
      </c>
      <c r="G74">
        <f>('2020'!G29-G$43)/G$44</f>
        <v>0.59655368673579834</v>
      </c>
      <c r="H74">
        <f>('2020'!H29-H$43)/H$44</f>
        <v>-0.12901906897590182</v>
      </c>
      <c r="I74">
        <f>('2020'!I29-I$43)/I$44</f>
        <v>-0.12023945141108039</v>
      </c>
      <c r="J74">
        <f>('2020'!J29-J$43)/J$44</f>
        <v>-7.1056140506666962E-2</v>
      </c>
      <c r="K74">
        <f>('2020'!K29-K$43)/K$44</f>
        <v>0.72369743657966468</v>
      </c>
      <c r="L74">
        <f>('2020'!L29-L$43)/L$44</f>
        <v>0.19525796434358819</v>
      </c>
      <c r="M74">
        <f>('2020'!M29-M$43)/M$44</f>
        <v>-0.16835263766363659</v>
      </c>
      <c r="N74">
        <f>('2020'!N29-N$43)/N$44</f>
        <v>1.4739998447345484</v>
      </c>
    </row>
    <row r="75" spans="1:14" ht="15" x14ac:dyDescent="0.25">
      <c r="A75" s="3" t="s">
        <v>21</v>
      </c>
      <c r="B75" s="3" t="s">
        <v>44</v>
      </c>
      <c r="C75">
        <f>('2020'!C30-C$43)/C$44</f>
        <v>1.3267701382115309</v>
      </c>
      <c r="D75">
        <f>('2020'!D30-D$43)/D$44</f>
        <v>0.69818215123498806</v>
      </c>
      <c r="E75">
        <f>('2020'!E30-E$43)/E$44</f>
        <v>-0.98462409772378556</v>
      </c>
      <c r="F75">
        <f>('2020'!F30-F$43)/F$44</f>
        <v>-0.52407491614260093</v>
      </c>
      <c r="G75">
        <f>('2020'!G30-G$43)/G$44</f>
        <v>1.3625747639006569</v>
      </c>
      <c r="H75">
        <f>('2020'!H30-H$43)/H$44</f>
        <v>0.99892557805455628</v>
      </c>
      <c r="I75">
        <f>('2020'!I30-I$43)/I$44</f>
        <v>0.92771331209460695</v>
      </c>
      <c r="J75">
        <f>('2020'!J30-J$43)/J$44</f>
        <v>1.5648278660691062</v>
      </c>
      <c r="K75">
        <f>('2020'!K30-K$43)/K$44</f>
        <v>-1.7196637518668438</v>
      </c>
      <c r="L75">
        <f>('2020'!L30-L$43)/L$44</f>
        <v>6.0972970096291754E-2</v>
      </c>
      <c r="M75">
        <f>('2020'!M30-M$43)/M$44</f>
        <v>9.0953863711848562E-2</v>
      </c>
      <c r="N75">
        <f>('2020'!N30-N$43)/N$44</f>
        <v>-0.45652619571251352</v>
      </c>
    </row>
    <row r="76" spans="1:14" ht="15" x14ac:dyDescent="0.25">
      <c r="A76" s="3" t="s">
        <v>21</v>
      </c>
      <c r="B76" s="3" t="s">
        <v>45</v>
      </c>
      <c r="C76">
        <f>('2020'!C31-C$43)/C$44</f>
        <v>1.2402868239556877</v>
      </c>
      <c r="D76">
        <f>('2020'!D31-D$43)/D$44</f>
        <v>0.71193544566307332</v>
      </c>
      <c r="E76">
        <f>('2020'!E31-E$43)/E$44</f>
        <v>-1.6061078814571965</v>
      </c>
      <c r="F76">
        <f>('2020'!F31-F$43)/F$44</f>
        <v>-0.69444469760862015</v>
      </c>
      <c r="G76">
        <f>('2020'!G31-G$43)/G$44</f>
        <v>1.4361127873084829</v>
      </c>
      <c r="H76">
        <f>('2020'!H31-H$43)/H$44</f>
        <v>0.75918821405156756</v>
      </c>
      <c r="I76">
        <f>('2020'!I31-I$43)/I$44</f>
        <v>0.80992017201063748</v>
      </c>
      <c r="J76">
        <f>('2020'!J31-J$43)/J$44</f>
        <v>1.812182944058786</v>
      </c>
      <c r="K76">
        <f>('2020'!K31-K$43)/K$44</f>
        <v>-1.773279828102347</v>
      </c>
      <c r="L76">
        <f>('2020'!L31-L$43)/L$44</f>
        <v>-0.31409891038753524</v>
      </c>
      <c r="M76">
        <f>('2020'!M31-M$43)/M$44</f>
        <v>-0.11543294350537339</v>
      </c>
      <c r="N76">
        <f>('2020'!N31-N$43)/N$44</f>
        <v>-0.68035530185130344</v>
      </c>
    </row>
    <row r="77" spans="1:14" ht="15" x14ac:dyDescent="0.25">
      <c r="A77" s="3" t="s">
        <v>21</v>
      </c>
      <c r="B77" s="3" t="s">
        <v>46</v>
      </c>
      <c r="C77">
        <f>('2020'!C32-C$43)/C$44</f>
        <v>0.7279139810059756</v>
      </c>
      <c r="D77">
        <f>('2020'!D32-D$43)/D$44</f>
        <v>0.48271387186166115</v>
      </c>
      <c r="E77">
        <f>('2020'!E32-E$43)/E$44</f>
        <v>-0.74955510180389417</v>
      </c>
      <c r="F77">
        <f>('2020'!F32-F$43)/F$44</f>
        <v>-0.92000963240332922</v>
      </c>
      <c r="G77">
        <f>('2020'!G32-G$43)/G$44</f>
        <v>1.2400113915542799</v>
      </c>
      <c r="H77">
        <f>('2020'!H32-H$43)/H$44</f>
        <v>0.59412314375442699</v>
      </c>
      <c r="I77">
        <f>('2020'!I32-I$43)/I$44</f>
        <v>0.54590106492586887</v>
      </c>
      <c r="J77">
        <f>('2020'!J32-J$43)/J$44</f>
        <v>0.3658988418446667</v>
      </c>
      <c r="K77">
        <f>('2020'!K32-K$43)/K$44</f>
        <v>-0.70095830339228049</v>
      </c>
      <c r="L77">
        <f>('2020'!L32-L$43)/L$44</f>
        <v>1.2741684353649665</v>
      </c>
      <c r="M77">
        <f>('2020'!M32-M$43)/M$44</f>
        <v>-0.45676497082616596</v>
      </c>
      <c r="N77">
        <f>('2020'!N32-N$43)/N$44</f>
        <v>0.32687567577325133</v>
      </c>
    </row>
    <row r="78" spans="1:14" ht="15" x14ac:dyDescent="0.25">
      <c r="A78" s="3" t="s">
        <v>21</v>
      </c>
      <c r="B78" s="3" t="s">
        <v>47</v>
      </c>
      <c r="C78">
        <f>('2020'!C33-C$43)/C$44</f>
        <v>-5.3699368589284154E-2</v>
      </c>
      <c r="D78">
        <f>('2020'!D33-D$43)/D$44</f>
        <v>0.39790188955513761</v>
      </c>
      <c r="E78">
        <f>('2020'!E33-E$43)/E$44</f>
        <v>1.7814617583746604</v>
      </c>
      <c r="F78">
        <f>('2020'!F33-F$43)/F$44</f>
        <v>-0.98043813195562213</v>
      </c>
      <c r="G78">
        <f>('2020'!G33-G$43)/G$44</f>
        <v>0.24111990693130392</v>
      </c>
      <c r="H78">
        <f>('2020'!H33-H$43)/H$44</f>
        <v>-0.16832027618950432</v>
      </c>
      <c r="I78">
        <f>('2020'!I33-I$43)/I$44</f>
        <v>-0.16491960799465602</v>
      </c>
      <c r="J78">
        <f>('2020'!J33-J$43)/J$44</f>
        <v>2.8700564997851216E-2</v>
      </c>
      <c r="K78">
        <f>('2020'!K33-K$43)/K$44</f>
        <v>0.45561705540214831</v>
      </c>
      <c r="L78">
        <f>('2020'!L33-L$43)/L$44</f>
        <v>-1.1846361144734536</v>
      </c>
      <c r="M78">
        <f>('2020'!M33-M$43)/M$44</f>
        <v>0.56723111113621361</v>
      </c>
      <c r="N78">
        <f>('2020'!N33-N$43)/N$44</f>
        <v>-6.482525996963108E-2</v>
      </c>
    </row>
    <row r="79" spans="1:14" ht="15" x14ac:dyDescent="0.25">
      <c r="A79" s="3" t="s">
        <v>21</v>
      </c>
      <c r="B79" s="3" t="s">
        <v>48</v>
      </c>
      <c r="C79">
        <f>('2020'!C34-C$43)/C$44</f>
        <v>-0.27235529519839741</v>
      </c>
      <c r="D79">
        <f>('2020'!D34-D$43)/D$44</f>
        <v>-0.6267185453371743</v>
      </c>
      <c r="E79">
        <f>('2020'!E34-E$43)/E$44</f>
        <v>-0.43398302508951991</v>
      </c>
      <c r="F79">
        <f>('2020'!F34-F$43)/F$44</f>
        <v>-1.0869296621338291</v>
      </c>
      <c r="G79">
        <f>('2020'!G34-G$43)/G$44</f>
        <v>-0.18785189628101645</v>
      </c>
      <c r="H79">
        <f>('2020'!H34-H$43)/H$44</f>
        <v>-0.6438648834741193</v>
      </c>
      <c r="I79">
        <f>('2020'!I34-I$43)/I$44</f>
        <v>-0.62390667108047881</v>
      </c>
      <c r="J79">
        <f>('2020'!J34-J$43)/J$44</f>
        <v>-1.0001692870271428</v>
      </c>
      <c r="K79">
        <f>('2020'!K34-K$43)/K$44</f>
        <v>0.27179050830899421</v>
      </c>
      <c r="L79">
        <f>('2020'!L34-L$43)/L$44</f>
        <v>-1.7680812618927397</v>
      </c>
      <c r="M79">
        <f>('2020'!M34-M$43)/M$44</f>
        <v>0.78155587247717329</v>
      </c>
      <c r="N79">
        <f>('2020'!N34-N$43)/N$44</f>
        <v>-1.5756717264064617</v>
      </c>
    </row>
    <row r="80" spans="1:14" ht="15" x14ac:dyDescent="0.25">
      <c r="A80" s="3" t="s">
        <v>49</v>
      </c>
      <c r="B80" s="3" t="s">
        <v>50</v>
      </c>
      <c r="C80">
        <f>('2020'!C35-C$43)/C$44</f>
        <v>-1.3656349282439615</v>
      </c>
      <c r="D80">
        <f>('2020'!D35-D$43)/D$44</f>
        <v>-0.73216046928582568</v>
      </c>
      <c r="E80">
        <f>('2020'!E35-E$43)/E$44</f>
        <v>0.7993241726819641</v>
      </c>
      <c r="F80">
        <f>('2020'!F35-F$43)/F$44</f>
        <v>-0.94474647985859184</v>
      </c>
      <c r="G80">
        <f>('2020'!G35-G$43)/G$44</f>
        <v>-1.125461694730804</v>
      </c>
      <c r="H80">
        <f>('2020'!H35-H$43)/H$44</f>
        <v>-3.1394915415380242</v>
      </c>
      <c r="I80">
        <f>('2020'!I35-I$43)/I$44</f>
        <v>-3.2031702556778097</v>
      </c>
      <c r="J80">
        <f>('2020'!J35-J$43)/J$44</f>
        <v>-0.85825563988845877</v>
      </c>
      <c r="K80">
        <f>('2020'!K35-K$43)/K$44</f>
        <v>1.902900605590703E-2</v>
      </c>
      <c r="L80">
        <f>('2020'!L35-L$43)/L$44</f>
        <v>-0.6474961374842696</v>
      </c>
      <c r="M80">
        <f>('2020'!M35-M$43)/M$44</f>
        <v>-1.0891553160174023</v>
      </c>
      <c r="N80">
        <f>('2020'!N35-N$43)/N$44</f>
        <v>-1.7715221942779029</v>
      </c>
    </row>
    <row r="81" spans="1:14" ht="15" x14ac:dyDescent="0.25">
      <c r="A81" s="3" t="s">
        <v>49</v>
      </c>
      <c r="B81" s="3" t="s">
        <v>51</v>
      </c>
      <c r="C81">
        <f>('2020'!C36-C$43)/C$44</f>
        <v>-1.5434968386946581</v>
      </c>
      <c r="D81">
        <f>('2020'!D36-D$43)/D$44</f>
        <v>-2.3137893285155675</v>
      </c>
      <c r="E81">
        <f>('2020'!E36-E$43)/E$44</f>
        <v>0.58035579292096962</v>
      </c>
      <c r="F81">
        <f>('2020'!F36-F$43)/F$44</f>
        <v>-0.93503705212025523</v>
      </c>
      <c r="G81">
        <f>('2020'!G36-G$43)/G$44</f>
        <v>-1.5544334979431245</v>
      </c>
      <c r="H81">
        <f>('2020'!H36-H$43)/H$44</f>
        <v>-2.1569613611979057</v>
      </c>
      <c r="I81">
        <f>('2020'!I36-I$43)/I$44</f>
        <v>-2.1511556597554371</v>
      </c>
      <c r="J81">
        <f>('2020'!J36-J$43)/J$44</f>
        <v>-1.0807696950331711</v>
      </c>
      <c r="K81">
        <f>('2020'!K36-K$43)/K$44</f>
        <v>-0.33330520920597195</v>
      </c>
      <c r="L81">
        <f>('2020'!L36-L$43)/L$44</f>
        <v>-0.42523131941977949</v>
      </c>
      <c r="M81">
        <f>('2020'!M36-M$43)/M$44</f>
        <v>1.4748038659504126</v>
      </c>
      <c r="N81">
        <f>('2020'!N36-N$43)/N$44</f>
        <v>-1.5197144498717643</v>
      </c>
    </row>
    <row r="82" spans="1:14" ht="15" x14ac:dyDescent="0.25">
      <c r="A82" s="3" t="s">
        <v>49</v>
      </c>
      <c r="B82" s="3" t="s">
        <v>52</v>
      </c>
      <c r="C82">
        <f>('2020'!C37-C$43)/C$44</f>
        <v>-0.23645656097899104</v>
      </c>
      <c r="D82">
        <f>('2020'!D37-D$43)/D$44</f>
        <v>0.2466156508462064</v>
      </c>
      <c r="E82">
        <f>('2020'!E37-E$43)/E$44</f>
        <v>-0.38890129984460908</v>
      </c>
      <c r="F82">
        <f>('2020'!F37-F$43)/F$44</f>
        <v>-0.29793477496741366</v>
      </c>
      <c r="G82">
        <f>('2020'!G37-G$43)/G$44</f>
        <v>-0.3349279430966694</v>
      </c>
      <c r="H82">
        <f>('2020'!H37-H$43)/H$44</f>
        <v>-1.1076191285946582</v>
      </c>
      <c r="I82">
        <f>('2020'!I37-I$43)/I$44</f>
        <v>-1.0625845720828591</v>
      </c>
      <c r="J82">
        <f>('2020'!J37-J$43)/J$44</f>
        <v>0.4425158523776957</v>
      </c>
      <c r="K82">
        <f>('2020'!K37-K$43)/K$44</f>
        <v>-1.329032339293891</v>
      </c>
      <c r="L82">
        <f>('2020'!L37-L$43)/L$44</f>
        <v>1.1630360263327213</v>
      </c>
      <c r="M82">
        <f>('2020'!M37-M$43)/M$44</f>
        <v>0.27352680855785716</v>
      </c>
      <c r="N82">
        <f>('2020'!N37-N$43)/N$44</f>
        <v>-2.331094959624878</v>
      </c>
    </row>
    <row r="83" spans="1:14" ht="15" x14ac:dyDescent="0.25">
      <c r="A83" s="3" t="s">
        <v>49</v>
      </c>
      <c r="B83" s="3" t="s">
        <v>53</v>
      </c>
      <c r="C83">
        <f>('2020'!C38-C$43)/C$44</f>
        <v>-1.0882356183667283</v>
      </c>
      <c r="D83">
        <f>('2020'!D38-D$43)/D$44</f>
        <v>0.51251267645584364</v>
      </c>
      <c r="E83">
        <f>('2020'!E38-E$43)/E$44</f>
        <v>-0.80429719674414279</v>
      </c>
      <c r="F83">
        <f>('2020'!F38-F$43)/F$44</f>
        <v>-0.65307933149654762</v>
      </c>
      <c r="G83">
        <f>('2020'!G38-G$43)/G$44</f>
        <v>-0.88033495003804907</v>
      </c>
      <c r="H83">
        <f>('2020'!H38-H$43)/H$44</f>
        <v>-3.1434216622593838</v>
      </c>
      <c r="I83">
        <f>('2020'!I38-I$43)/I$44</f>
        <v>-3.219417585344567</v>
      </c>
      <c r="J83">
        <f>('2020'!J38-J$43)/J$44</f>
        <v>-1.0270715340265164</v>
      </c>
      <c r="K83">
        <f>('2020'!K38-K$43)/K$44</f>
        <v>-0.86946597156100536</v>
      </c>
      <c r="L83">
        <f>('2020'!L38-L$43)/L$44</f>
        <v>0.77407259471986412</v>
      </c>
      <c r="M83">
        <f>('2020'!M38-M$43)/M$44</f>
        <v>-0.2477321789010295</v>
      </c>
      <c r="N83">
        <f>('2020'!N38-N$43)/N$44</f>
        <v>-1.8274794708126005</v>
      </c>
    </row>
    <row r="84" spans="1:14" ht="15" x14ac:dyDescent="0.25">
      <c r="A84" s="3" t="s">
        <v>49</v>
      </c>
      <c r="B84" s="3" t="s">
        <v>54</v>
      </c>
      <c r="C84">
        <f>('2020'!C39-C$43)/C$44</f>
        <v>0.79644792815211574</v>
      </c>
      <c r="D84">
        <f>('2020'!D39-D$43)/D$44</f>
        <v>1.1818396719559674</v>
      </c>
      <c r="E84">
        <f>('2020'!E39-E$43)/E$44</f>
        <v>-0.7141337462543218</v>
      </c>
      <c r="F84">
        <f>('2020'!F39-F$43)/F$44</f>
        <v>-0.21980088436919731</v>
      </c>
      <c r="G84">
        <f>('2020'!G39-G$43)/G$44</f>
        <v>1.0745508388866696</v>
      </c>
      <c r="H84">
        <f>('2020'!H39-H$43)/H$44</f>
        <v>-0.41984800235657493</v>
      </c>
      <c r="I84">
        <f>('2020'!I39-I$43)/I$44</f>
        <v>-0.38019672607915828</v>
      </c>
      <c r="J84">
        <f>('2020'!J39-J$43)/J$44</f>
        <v>1.3593761664247566</v>
      </c>
      <c r="K84">
        <f>('2020'!K39-K$43)/K$44</f>
        <v>-1.6507287967069111</v>
      </c>
      <c r="L84">
        <f>('2020'!L39-L$43)/L$44</f>
        <v>-0.88828302372080015</v>
      </c>
      <c r="M84">
        <f>('2020'!M39-M$43)/M$44</f>
        <v>0.15181151199385143</v>
      </c>
      <c r="N84">
        <f>('2020'!N39-N$43)/N$44</f>
        <v>-0.8202484931880456</v>
      </c>
    </row>
    <row r="85" spans="1:14" ht="15" x14ac:dyDescent="0.25">
      <c r="A85" s="3" t="s">
        <v>49</v>
      </c>
      <c r="B85" s="3" t="s">
        <v>55</v>
      </c>
      <c r="C85">
        <f>('2020'!C40-C$43)/C$44</f>
        <v>-5.2067607942948978E-2</v>
      </c>
      <c r="D85">
        <f>('2020'!D40-D$43)/D$44</f>
        <v>-0.61525746664710435</v>
      </c>
      <c r="E85">
        <f>('2020'!E40-E$43)/E$44</f>
        <v>-1.2068126007165594</v>
      </c>
      <c r="F85">
        <f>('2020'!F40-F$43)/F$44</f>
        <v>-0.47423290726512934</v>
      </c>
      <c r="G85">
        <f>('2020'!G40-G$43)/G$44</f>
        <v>0.57204101226652226</v>
      </c>
      <c r="H85">
        <f>('2020'!H40-H$43)/H$44</f>
        <v>-2.365257759430011</v>
      </c>
      <c r="I85">
        <f>('2020'!I40-I$43)/I$44</f>
        <v>-2.374556442673315</v>
      </c>
      <c r="J85">
        <f>('2020'!J40-J$43)/J$44</f>
        <v>0.31024578967569805</v>
      </c>
      <c r="K85">
        <f>('2020'!K40-K$43)/K$44</f>
        <v>-1.1911624289740252</v>
      </c>
      <c r="L85">
        <f>('2020'!L40-L$43)/L$44</f>
        <v>0.9917068957413433</v>
      </c>
      <c r="M85">
        <f>('2020'!M40-M$43)/M$44</f>
        <v>-0.67902768629086907</v>
      </c>
      <c r="N85">
        <f>('2020'!N40-N$43)/N$44</f>
        <v>0.13102520790181013</v>
      </c>
    </row>
    <row r="86" spans="1:14" ht="15" x14ac:dyDescent="0.25">
      <c r="A86" s="3" t="s">
        <v>49</v>
      </c>
      <c r="B86" s="3" t="s">
        <v>56</v>
      </c>
      <c r="C86">
        <f>('2020'!C41-C$43)/C$44</f>
        <v>-0.19729430546691198</v>
      </c>
      <c r="D86">
        <f>('2020'!D41-D$43)/D$44</f>
        <v>0.54460369678804155</v>
      </c>
      <c r="E86">
        <f>('2020'!E41-E$43)/E$44</f>
        <v>-0.44364339478485798</v>
      </c>
      <c r="F86">
        <f>('2020'!F41-F$43)/F$44</f>
        <v>-0.91845225544432696</v>
      </c>
      <c r="G86">
        <f>('2020'!G41-G$43)/G$44</f>
        <v>-0.10818570425587178</v>
      </c>
      <c r="H86">
        <f>('2020'!H41-H$43)/H$44</f>
        <v>-1.8897131521453905</v>
      </c>
      <c r="I86">
        <f>('2020'!I41-I$43)/I$44</f>
        <v>-1.8221472340036504</v>
      </c>
      <c r="J86">
        <f>('2020'!J41-J$43)/J$44</f>
        <v>-0.45024776976904463</v>
      </c>
      <c r="K86">
        <f>('2020'!K41-K$43)/K$44</f>
        <v>-1.7503015097157029</v>
      </c>
      <c r="L86">
        <f>('2020'!L41-L$43)/L$44</f>
        <v>-0.59656045001115765</v>
      </c>
      <c r="M86">
        <f>('2020'!M41-M$43)/M$44</f>
        <v>-0.16041468353989694</v>
      </c>
      <c r="N86">
        <f>('2020'!N41-N$43)/N$44</f>
        <v>-0.45652619571251352</v>
      </c>
    </row>
    <row r="87" spans="1:14" ht="15" x14ac:dyDescent="0.25">
      <c r="A87" s="3" t="s">
        <v>49</v>
      </c>
      <c r="B87" s="3" t="s">
        <v>57</v>
      </c>
      <c r="C87">
        <f>('2020'!C42-C$43)/C$44</f>
        <v>1.3039254891628176</v>
      </c>
      <c r="D87">
        <f>('2020'!D42-D$43)/D$44</f>
        <v>0.84259174272987669</v>
      </c>
      <c r="E87">
        <f>('2020'!E42-E$43)/E$44</f>
        <v>-1.6576298531656657</v>
      </c>
      <c r="F87">
        <f>('2020'!F42-F$43)/F$44</f>
        <v>-0.5948009915200495</v>
      </c>
      <c r="G87">
        <f>('2020'!G42-G$43)/G$44</f>
        <v>1.7609057240263837</v>
      </c>
      <c r="H87">
        <f>('2020'!H42-H$43)/H$44</f>
        <v>-6.6137137434129967E-2</v>
      </c>
      <c r="I87">
        <f>('2020'!I42-I$43)/I$44</f>
        <v>-4.7126467910680779E-2</v>
      </c>
      <c r="J87">
        <f>('2020'!J42-J$43)/J$44</f>
        <v>1.4431992820372774</v>
      </c>
      <c r="K87">
        <f>('2020'!K42-K$43)/K$44</f>
        <v>-1.5817938415469779</v>
      </c>
      <c r="L87">
        <f>('2020'!L42-L$43)/L$44</f>
        <v>-0.95774077936595348</v>
      </c>
      <c r="M87">
        <f>('2020'!M42-M$43)/M$44</f>
        <v>-0.50439269556860211</v>
      </c>
      <c r="N87">
        <f>('2020'!N42-N$43)/N$44</f>
        <v>-8.8679834349335834E-3</v>
      </c>
    </row>
    <row r="89" spans="1:14" ht="15" x14ac:dyDescent="0.25">
      <c r="A89" s="3" t="s">
        <v>71</v>
      </c>
    </row>
    <row r="90" spans="1:14" x14ac:dyDescent="0.2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9</v>
      </c>
      <c r="K90" s="1" t="s">
        <v>10</v>
      </c>
      <c r="L90" s="1" t="s">
        <v>11</v>
      </c>
      <c r="M90" s="1" t="s">
        <v>12</v>
      </c>
      <c r="N90" s="1" t="s">
        <v>13</v>
      </c>
    </row>
    <row r="91" spans="1:14" ht="15" x14ac:dyDescent="0.25">
      <c r="A91" s="3" t="s">
        <v>14</v>
      </c>
      <c r="B91" s="3" t="s">
        <v>15</v>
      </c>
      <c r="C91">
        <f>('2020'!C2-C$43)^3</f>
        <v>-5.2597494887124121</v>
      </c>
    </row>
    <row r="92" spans="1:14" ht="15" x14ac:dyDescent="0.25">
      <c r="A92" s="3" t="s">
        <v>14</v>
      </c>
      <c r="B92" s="3" t="s">
        <v>16</v>
      </c>
      <c r="C92">
        <f>('2020'!C3-C$43)^3</f>
        <v>1462.4876631034419</v>
      </c>
    </row>
    <row r="93" spans="1:14" ht="15" x14ac:dyDescent="0.25">
      <c r="A93" s="3" t="s">
        <v>14</v>
      </c>
      <c r="B93" s="3" t="s">
        <v>17</v>
      </c>
      <c r="C93">
        <f>('2020'!C4-C$43)^3</f>
        <v>802.00110715768199</v>
      </c>
    </row>
    <row r="94" spans="1:14" ht="15" x14ac:dyDescent="0.25">
      <c r="A94" s="3" t="s">
        <v>14</v>
      </c>
      <c r="B94" s="3" t="s">
        <v>18</v>
      </c>
      <c r="C94">
        <f>('2020'!C5-C$43)^3</f>
        <v>516.02550947125007</v>
      </c>
    </row>
    <row r="95" spans="1:14" ht="15" x14ac:dyDescent="0.25">
      <c r="A95" s="3" t="s">
        <v>14</v>
      </c>
      <c r="B95" s="3" t="s">
        <v>19</v>
      </c>
      <c r="C95">
        <f>('2020'!C6-C$43)^3</f>
        <v>514.09786411258551</v>
      </c>
    </row>
    <row r="96" spans="1:14" ht="15" x14ac:dyDescent="0.25">
      <c r="A96" s="3" t="s">
        <v>14</v>
      </c>
      <c r="B96" s="3" t="s">
        <v>20</v>
      </c>
      <c r="C96">
        <f>('2020'!C7-C$43)^3</f>
        <v>331.50484863431382</v>
      </c>
    </row>
    <row r="97" spans="1:3" ht="15" x14ac:dyDescent="0.25">
      <c r="A97" s="3" t="s">
        <v>21</v>
      </c>
      <c r="B97" s="3" t="s">
        <v>22</v>
      </c>
      <c r="C97">
        <f>('2020'!C8-C$43)^3</f>
        <v>-26.173960014452394</v>
      </c>
    </row>
    <row r="98" spans="1:3" ht="15" x14ac:dyDescent="0.25">
      <c r="A98" s="3" t="s">
        <v>21</v>
      </c>
      <c r="B98" s="3" t="s">
        <v>23</v>
      </c>
      <c r="C98">
        <f>('2020'!C9-C$43)^3</f>
        <v>-273.24428949861277</v>
      </c>
    </row>
    <row r="99" spans="1:3" ht="15" x14ac:dyDescent="0.25">
      <c r="A99" s="3" t="s">
        <v>21</v>
      </c>
      <c r="B99" s="3" t="s">
        <v>24</v>
      </c>
      <c r="C99">
        <f>('2020'!C10-C$43)^3</f>
        <v>-513.74697781600719</v>
      </c>
    </row>
    <row r="100" spans="1:3" ht="15" x14ac:dyDescent="0.25">
      <c r="A100" s="3" t="s">
        <v>21</v>
      </c>
      <c r="B100" s="3" t="s">
        <v>25</v>
      </c>
      <c r="C100">
        <f>('2020'!C11-C$43)^3</f>
        <v>-0.938568267622093</v>
      </c>
    </row>
    <row r="101" spans="1:3" ht="15" x14ac:dyDescent="0.25">
      <c r="A101" s="3" t="s">
        <v>21</v>
      </c>
      <c r="B101" s="3" t="s">
        <v>26</v>
      </c>
      <c r="C101">
        <f>('2020'!C12-C$43)^3</f>
        <v>-380.93441308068913</v>
      </c>
    </row>
    <row r="102" spans="1:3" ht="15" x14ac:dyDescent="0.25">
      <c r="A102" s="3" t="s">
        <v>21</v>
      </c>
      <c r="B102" s="3" t="s">
        <v>27</v>
      </c>
      <c r="C102">
        <f>('2020'!C13-C$43)^3</f>
        <v>-456.37089313096664</v>
      </c>
    </row>
    <row r="103" spans="1:3" ht="15" x14ac:dyDescent="0.25">
      <c r="A103" s="3" t="s">
        <v>21</v>
      </c>
      <c r="B103" s="3" t="s">
        <v>28</v>
      </c>
      <c r="C103">
        <f>('2020'!C14-C$43)^3</f>
        <v>-23.865198482672238</v>
      </c>
    </row>
    <row r="104" spans="1:3" ht="15" x14ac:dyDescent="0.25">
      <c r="A104" s="3" t="s">
        <v>21</v>
      </c>
      <c r="B104" s="3" t="s">
        <v>29</v>
      </c>
      <c r="C104">
        <f>('2020'!C15-C$43)^3</f>
        <v>-63.477676087088803</v>
      </c>
    </row>
    <row r="105" spans="1:3" ht="15" x14ac:dyDescent="0.25">
      <c r="A105" s="3" t="s">
        <v>21</v>
      </c>
      <c r="B105" s="3" t="s">
        <v>30</v>
      </c>
      <c r="C105">
        <f>('2020'!C16-C$43)^3</f>
        <v>-98.552774132658513</v>
      </c>
    </row>
    <row r="106" spans="1:3" ht="15" x14ac:dyDescent="0.25">
      <c r="A106" s="3" t="s">
        <v>21</v>
      </c>
      <c r="B106" s="3" t="s">
        <v>31</v>
      </c>
      <c r="C106">
        <f>('2020'!C17-C$43)^3</f>
        <v>-193.00921251337812</v>
      </c>
    </row>
    <row r="107" spans="1:3" ht="15" x14ac:dyDescent="0.25">
      <c r="A107" s="3" t="s">
        <v>21</v>
      </c>
      <c r="B107" s="3" t="s">
        <v>32</v>
      </c>
      <c r="C107">
        <f>('2020'!C18-C$43)^3</f>
        <v>-5.1695373495071459</v>
      </c>
    </row>
    <row r="108" spans="1:3" ht="15" x14ac:dyDescent="0.25">
      <c r="A108" s="3" t="s">
        <v>21</v>
      </c>
      <c r="B108" s="3" t="s">
        <v>33</v>
      </c>
      <c r="C108">
        <f>('2020'!C19-C$43)^3</f>
        <v>-224.65464405683369</v>
      </c>
    </row>
    <row r="109" spans="1:3" ht="15" x14ac:dyDescent="0.25">
      <c r="A109" s="3" t="s">
        <v>21</v>
      </c>
      <c r="B109" s="3" t="s">
        <v>34</v>
      </c>
      <c r="C109">
        <f>('2020'!C20-C$43)^3</f>
        <v>-86.297477535613382</v>
      </c>
    </row>
    <row r="110" spans="1:3" ht="15" x14ac:dyDescent="0.25">
      <c r="A110" s="3" t="s">
        <v>21</v>
      </c>
      <c r="B110" s="3" t="s">
        <v>35</v>
      </c>
      <c r="C110">
        <f>('2020'!C21-C$43)^3</f>
        <v>-16.563600536826421</v>
      </c>
    </row>
    <row r="111" spans="1:3" ht="15" x14ac:dyDescent="0.25">
      <c r="A111" s="3" t="s">
        <v>21</v>
      </c>
      <c r="B111" s="3" t="s">
        <v>36</v>
      </c>
      <c r="C111">
        <f>('2020'!C22-C$43)^3</f>
        <v>-19.882435615120812</v>
      </c>
    </row>
    <row r="112" spans="1:3" ht="15" x14ac:dyDescent="0.25">
      <c r="A112" s="3" t="s">
        <v>21</v>
      </c>
      <c r="B112" s="3" t="s">
        <v>37</v>
      </c>
      <c r="C112">
        <f>('2020'!C23-C$43)^3</f>
        <v>0.344341630245102</v>
      </c>
    </row>
    <row r="113" spans="1:3" ht="15" x14ac:dyDescent="0.25">
      <c r="A113" s="3" t="s">
        <v>21</v>
      </c>
      <c r="B113" s="3" t="s">
        <v>38</v>
      </c>
      <c r="C113">
        <f>('2020'!C24-C$43)^3</f>
        <v>-147.95938081674768</v>
      </c>
    </row>
    <row r="114" spans="1:3" ht="15" x14ac:dyDescent="0.25">
      <c r="A114" s="3" t="s">
        <v>21</v>
      </c>
      <c r="B114" s="3" t="s">
        <v>39</v>
      </c>
      <c r="C114">
        <f>('2020'!C25-C$43)^3</f>
        <v>-149.64420316133854</v>
      </c>
    </row>
    <row r="115" spans="1:3" ht="15" x14ac:dyDescent="0.25">
      <c r="A115" s="3" t="s">
        <v>21</v>
      </c>
      <c r="B115" s="3" t="s">
        <v>40</v>
      </c>
      <c r="C115">
        <f>('2020'!C26-C$43)^3</f>
        <v>20.591360052584189</v>
      </c>
    </row>
    <row r="116" spans="1:3" ht="15" x14ac:dyDescent="0.25">
      <c r="A116" s="3" t="s">
        <v>21</v>
      </c>
      <c r="B116" s="3" t="s">
        <v>41</v>
      </c>
      <c r="C116">
        <f>('2020'!C27-C$43)^3</f>
        <v>0.59463552849292556</v>
      </c>
    </row>
    <row r="117" spans="1:3" ht="15" x14ac:dyDescent="0.25">
      <c r="A117" s="3" t="s">
        <v>21</v>
      </c>
      <c r="B117" s="3" t="s">
        <v>42</v>
      </c>
      <c r="C117">
        <f>('2020'!C28-C$43)^3</f>
        <v>539.53434843277034</v>
      </c>
    </row>
    <row r="118" spans="1:3" ht="15" x14ac:dyDescent="0.25">
      <c r="A118" s="3" t="s">
        <v>21</v>
      </c>
      <c r="B118" s="3" t="s">
        <v>43</v>
      </c>
      <c r="C118">
        <f>('2020'!C29-C$43)^3</f>
        <v>3.5181294827587819</v>
      </c>
    </row>
    <row r="119" spans="1:3" ht="15" x14ac:dyDescent="0.25">
      <c r="A119" s="3" t="s">
        <v>21</v>
      </c>
      <c r="B119" s="3" t="s">
        <v>44</v>
      </c>
      <c r="C119">
        <f>('2020'!C30-C$43)^3</f>
        <v>537.54855651140474</v>
      </c>
    </row>
    <row r="120" spans="1:3" ht="15" x14ac:dyDescent="0.25">
      <c r="A120" s="3" t="s">
        <v>21</v>
      </c>
      <c r="B120" s="3" t="s">
        <v>45</v>
      </c>
      <c r="C120">
        <f>('2020'!C31-C$43)^3</f>
        <v>439.13396128117904</v>
      </c>
    </row>
    <row r="121" spans="1:3" ht="15" x14ac:dyDescent="0.25">
      <c r="A121" s="3" t="s">
        <v>21</v>
      </c>
      <c r="B121" s="3" t="s">
        <v>46</v>
      </c>
      <c r="C121">
        <f>('2020'!C32-C$43)^3</f>
        <v>88.770939876841709</v>
      </c>
    </row>
    <row r="122" spans="1:3" ht="15" x14ac:dyDescent="0.25">
      <c r="A122" s="3" t="s">
        <v>21</v>
      </c>
      <c r="B122" s="3" t="s">
        <v>47</v>
      </c>
      <c r="C122">
        <f>('2020'!C33-C$43)^3</f>
        <v>-3.564003918280699E-2</v>
      </c>
    </row>
    <row r="123" spans="1:3" ht="15" x14ac:dyDescent="0.25">
      <c r="A123" s="3" t="s">
        <v>21</v>
      </c>
      <c r="B123" s="3" t="s">
        <v>48</v>
      </c>
      <c r="C123">
        <f>('2020'!C34-C$43)^3</f>
        <v>-4.649841029549016</v>
      </c>
    </row>
    <row r="124" spans="1:3" ht="15" x14ac:dyDescent="0.25">
      <c r="A124" s="3" t="s">
        <v>49</v>
      </c>
      <c r="B124" s="3" t="s">
        <v>50</v>
      </c>
      <c r="C124">
        <f>('2020'!C35-C$43)^3</f>
        <v>-586.18470615685885</v>
      </c>
    </row>
    <row r="125" spans="1:3" ht="15" x14ac:dyDescent="0.25">
      <c r="A125" s="3" t="s">
        <v>49</v>
      </c>
      <c r="B125" s="3" t="s">
        <v>51</v>
      </c>
      <c r="C125">
        <f>('2020'!C36-C$43)^3</f>
        <v>-846.34584848792269</v>
      </c>
    </row>
    <row r="126" spans="1:3" ht="15" x14ac:dyDescent="0.25">
      <c r="A126" s="3" t="s">
        <v>49</v>
      </c>
      <c r="B126" s="3" t="s">
        <v>52</v>
      </c>
      <c r="C126">
        <f>('2020'!C37-C$43)^3</f>
        <v>-3.0428794137096276</v>
      </c>
    </row>
    <row r="127" spans="1:3" ht="15" x14ac:dyDescent="0.25">
      <c r="A127" s="3" t="s">
        <v>49</v>
      </c>
      <c r="B127" s="3" t="s">
        <v>53</v>
      </c>
      <c r="C127">
        <f>('2020'!C38-C$43)^3</f>
        <v>-296.61932656133536</v>
      </c>
    </row>
    <row r="128" spans="1:3" ht="15" x14ac:dyDescent="0.25">
      <c r="A128" s="3" t="s">
        <v>49</v>
      </c>
      <c r="B128" s="3" t="s">
        <v>54</v>
      </c>
      <c r="C128">
        <f>('2020'!C39-C$43)^3</f>
        <v>116.27940365848534</v>
      </c>
    </row>
    <row r="129" spans="1:14" ht="15" x14ac:dyDescent="0.25">
      <c r="A129" s="3" t="s">
        <v>49</v>
      </c>
      <c r="B129" s="3" t="s">
        <v>55</v>
      </c>
      <c r="C129">
        <f>('2020'!C40-C$43)^3</f>
        <v>-3.2488788240538725E-2</v>
      </c>
    </row>
    <row r="130" spans="1:14" ht="15" x14ac:dyDescent="0.25">
      <c r="A130" s="3" t="s">
        <v>49</v>
      </c>
      <c r="B130" s="3" t="s">
        <v>56</v>
      </c>
      <c r="C130">
        <f>('2020'!C41-C$43)^3</f>
        <v>-1.7675604940013068</v>
      </c>
    </row>
    <row r="131" spans="1:14" ht="15" x14ac:dyDescent="0.25">
      <c r="A131" s="3" t="s">
        <v>49</v>
      </c>
      <c r="B131" s="3" t="s">
        <v>57</v>
      </c>
      <c r="C131">
        <f>('2020'!C42-C$43)^3</f>
        <v>510.25698703593446</v>
      </c>
    </row>
    <row r="132" spans="1:14" ht="15" x14ac:dyDescent="0.25">
      <c r="B132" s="3" t="s">
        <v>74</v>
      </c>
      <c r="C132">
        <f>SUM(C91:C131)</f>
        <v>1458.2663734143216</v>
      </c>
    </row>
    <row r="133" spans="1:14" ht="15" x14ac:dyDescent="0.25">
      <c r="B133" s="3" t="s">
        <v>73</v>
      </c>
      <c r="C133">
        <f>C132/41</f>
        <v>35.567472522300527</v>
      </c>
    </row>
    <row r="135" spans="1:14" ht="15" x14ac:dyDescent="0.25">
      <c r="A135" s="3" t="s">
        <v>72</v>
      </c>
    </row>
    <row r="136" spans="1:14" x14ac:dyDescent="0.2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9</v>
      </c>
      <c r="K136" s="1" t="s">
        <v>10</v>
      </c>
      <c r="L136" s="1" t="s">
        <v>11</v>
      </c>
      <c r="M136" s="1" t="s">
        <v>12</v>
      </c>
      <c r="N136" s="1" t="s">
        <v>13</v>
      </c>
    </row>
    <row r="137" spans="1:14" ht="15" x14ac:dyDescent="0.25">
      <c r="A137" s="3" t="s">
        <v>14</v>
      </c>
      <c r="B137" s="3" t="s">
        <v>15</v>
      </c>
      <c r="C137">
        <f>'Bobot M'!J2*('2020'!C2-C$43)^3</f>
        <v>-2.50398136056994E-3</v>
      </c>
    </row>
    <row r="138" spans="1:14" ht="15" x14ac:dyDescent="0.25">
      <c r="A138" s="3" t="s">
        <v>14</v>
      </c>
      <c r="B138" s="3" t="s">
        <v>16</v>
      </c>
      <c r="C138">
        <f>'Bobot M'!J3*('2020'!C3-C$43)^3</f>
        <v>55.227261798453249</v>
      </c>
    </row>
    <row r="139" spans="1:14" ht="15" x14ac:dyDescent="0.25">
      <c r="A139" s="3" t="s">
        <v>14</v>
      </c>
      <c r="B139" s="3" t="s">
        <v>17</v>
      </c>
      <c r="C139">
        <f>'Bobot M'!J4*('2020'!C4-C$43)^3</f>
        <v>41.518255852479932</v>
      </c>
    </row>
    <row r="140" spans="1:14" ht="15" x14ac:dyDescent="0.25">
      <c r="A140" s="3" t="s">
        <v>14</v>
      </c>
      <c r="B140" s="3" t="s">
        <v>18</v>
      </c>
      <c r="C140">
        <f>'Bobot M'!J5*('2020'!C5-C$43)^3</f>
        <v>9.1376080866977301</v>
      </c>
    </row>
    <row r="141" spans="1:14" ht="15" x14ac:dyDescent="0.25">
      <c r="A141" s="3" t="s">
        <v>14</v>
      </c>
      <c r="B141" s="3" t="s">
        <v>19</v>
      </c>
      <c r="C141">
        <f>'Bobot M'!J6*('2020'!C6-C$43)^3</f>
        <v>21.264140524129097</v>
      </c>
    </row>
    <row r="142" spans="1:14" ht="15" x14ac:dyDescent="0.25">
      <c r="A142" s="3" t="s">
        <v>14</v>
      </c>
      <c r="B142" s="3" t="s">
        <v>20</v>
      </c>
      <c r="C142">
        <f>'Bobot M'!J7*('2020'!C7-C$43)^3</f>
        <v>9.9870300746369409</v>
      </c>
    </row>
    <row r="143" spans="1:14" ht="15" x14ac:dyDescent="0.25">
      <c r="A143" s="3" t="s">
        <v>21</v>
      </c>
      <c r="B143" s="3" t="s">
        <v>22</v>
      </c>
      <c r="C143">
        <f>'Bobot M'!J8*('2020'!C8-C$43)^3</f>
        <v>-2.4196774113980029</v>
      </c>
    </row>
    <row r="144" spans="1:14" ht="15" x14ac:dyDescent="0.25">
      <c r="A144" s="3" t="s">
        <v>21</v>
      </c>
      <c r="B144" s="3" t="s">
        <v>23</v>
      </c>
      <c r="C144">
        <f>'Bobot M'!J9*('2020'!C9-C$43)^3</f>
        <v>-12.623202289125016</v>
      </c>
    </row>
    <row r="145" spans="1:3" ht="15" x14ac:dyDescent="0.25">
      <c r="A145" s="3" t="s">
        <v>21</v>
      </c>
      <c r="B145" s="3" t="s">
        <v>24</v>
      </c>
      <c r="C145">
        <f>'Bobot M'!J10*('2020'!C10-C$43)^3</f>
        <v>-21.633184184490197</v>
      </c>
    </row>
    <row r="146" spans="1:3" ht="15" x14ac:dyDescent="0.25">
      <c r="A146" s="3" t="s">
        <v>21</v>
      </c>
      <c r="B146" s="3" t="s">
        <v>25</v>
      </c>
      <c r="C146">
        <f>'Bobot M'!J11*('2020'!C11-C$43)^3</f>
        <v>-5.7608022967075546E-2</v>
      </c>
    </row>
    <row r="147" spans="1:3" ht="15" x14ac:dyDescent="0.25">
      <c r="A147" s="3" t="s">
        <v>21</v>
      </c>
      <c r="B147" s="3" t="s">
        <v>26</v>
      </c>
      <c r="C147">
        <f>'Bobot M'!J12*('2020'!C12-C$43)^3</f>
        <v>-16.797120026070253</v>
      </c>
    </row>
    <row r="148" spans="1:3" ht="15" x14ac:dyDescent="0.25">
      <c r="A148" s="3" t="s">
        <v>21</v>
      </c>
      <c r="B148" s="3" t="s">
        <v>27</v>
      </c>
      <c r="C148">
        <f>'Bobot M'!J13*('2020'!C13-C$43)^3</f>
        <v>-14.374923689667636</v>
      </c>
    </row>
    <row r="149" spans="1:3" ht="15" x14ac:dyDescent="0.25">
      <c r="A149" s="3" t="s">
        <v>21</v>
      </c>
      <c r="B149" s="3" t="s">
        <v>28</v>
      </c>
      <c r="C149">
        <f>'Bobot M'!J14*('2020'!C14-C$43)^3</f>
        <v>-0.49395337735170991</v>
      </c>
    </row>
    <row r="150" spans="1:3" ht="15" x14ac:dyDescent="0.25">
      <c r="A150" s="3" t="s">
        <v>21</v>
      </c>
      <c r="B150" s="3" t="s">
        <v>29</v>
      </c>
      <c r="C150">
        <f>'Bobot M'!J15*('2020'!C15-C$43)^3</f>
        <v>-1.2563948834722962</v>
      </c>
    </row>
    <row r="151" spans="1:3" ht="15" x14ac:dyDescent="0.25">
      <c r="A151" s="3" t="s">
        <v>21</v>
      </c>
      <c r="B151" s="3" t="s">
        <v>30</v>
      </c>
      <c r="C151">
        <f>'Bobot M'!J16*('2020'!C16-C$43)^3</f>
        <v>-3.8241095810266996</v>
      </c>
    </row>
    <row r="152" spans="1:3" ht="15" x14ac:dyDescent="0.25">
      <c r="A152" s="3" t="s">
        <v>21</v>
      </c>
      <c r="B152" s="3" t="s">
        <v>31</v>
      </c>
      <c r="C152">
        <f>'Bobot M'!J17*('2020'!C17-C$43)^3</f>
        <v>-4.2665889289852199</v>
      </c>
    </row>
    <row r="153" spans="1:3" ht="15" x14ac:dyDescent="0.25">
      <c r="A153" s="3" t="s">
        <v>21</v>
      </c>
      <c r="B153" s="3" t="s">
        <v>32</v>
      </c>
      <c r="C153">
        <f>'Bobot M'!J18*('2020'!C18-C$43)^3</f>
        <v>-0.10059235507442199</v>
      </c>
    </row>
    <row r="154" spans="1:3" ht="15" x14ac:dyDescent="0.25">
      <c r="A154" s="3" t="s">
        <v>21</v>
      </c>
      <c r="B154" s="3" t="s">
        <v>33</v>
      </c>
      <c r="C154">
        <f>'Bobot M'!J19*('2020'!C19-C$43)^3</f>
        <v>-7.0048650376287913</v>
      </c>
    </row>
    <row r="155" spans="1:3" ht="15" x14ac:dyDescent="0.25">
      <c r="A155" s="3" t="s">
        <v>21</v>
      </c>
      <c r="B155" s="3" t="s">
        <v>34</v>
      </c>
      <c r="C155">
        <f>'Bobot M'!J20*('2020'!C20-C$43)^3</f>
        <v>-2.3493116934362028</v>
      </c>
    </row>
    <row r="156" spans="1:3" ht="15" x14ac:dyDescent="0.25">
      <c r="A156" s="3" t="s">
        <v>21</v>
      </c>
      <c r="B156" s="3" t="s">
        <v>35</v>
      </c>
      <c r="C156">
        <f>'Bobot M'!J21*('2020'!C21-C$43)^3</f>
        <v>-0.28208799574251969</v>
      </c>
    </row>
    <row r="157" spans="1:3" ht="15" x14ac:dyDescent="0.25">
      <c r="A157" s="3" t="s">
        <v>21</v>
      </c>
      <c r="B157" s="3" t="s">
        <v>36</v>
      </c>
      <c r="C157">
        <f>'Bobot M'!J22*('2020'!C22-C$43)^3</f>
        <v>-0.82610419795756995</v>
      </c>
    </row>
    <row r="158" spans="1:3" ht="15" x14ac:dyDescent="0.25">
      <c r="A158" s="3" t="s">
        <v>21</v>
      </c>
      <c r="B158" s="3" t="s">
        <v>37</v>
      </c>
      <c r="C158">
        <f>'Bobot M'!J23*('2020'!C23-C$43)^3</f>
        <v>1.8297196130873057E-2</v>
      </c>
    </row>
    <row r="159" spans="1:3" ht="15" x14ac:dyDescent="0.25">
      <c r="A159" s="3" t="s">
        <v>21</v>
      </c>
      <c r="B159" s="3" t="s">
        <v>38</v>
      </c>
      <c r="C159">
        <f>'Bobot M'!J24*('2020'!C24-C$43)^3</f>
        <v>-4.5178386758259697</v>
      </c>
    </row>
    <row r="160" spans="1:3" ht="15" x14ac:dyDescent="0.25">
      <c r="A160" s="3" t="s">
        <v>21</v>
      </c>
      <c r="B160" s="3" t="s">
        <v>39</v>
      </c>
      <c r="C160">
        <f>'Bobot M'!J25*('2020'!C25-C$43)^3</f>
        <v>-1.0675633984855963</v>
      </c>
    </row>
    <row r="161" spans="1:3" ht="15" x14ac:dyDescent="0.25">
      <c r="A161" s="3" t="s">
        <v>21</v>
      </c>
      <c r="B161" s="3" t="s">
        <v>40</v>
      </c>
      <c r="C161">
        <f>'Bobot M'!J26*('2020'!C26-C$43)^3</f>
        <v>0.36355127346253419</v>
      </c>
    </row>
    <row r="162" spans="1:3" ht="15" x14ac:dyDescent="0.25">
      <c r="A162" s="3" t="s">
        <v>21</v>
      </c>
      <c r="B162" s="3" t="s">
        <v>41</v>
      </c>
      <c r="C162">
        <f>'Bobot M'!J27*('2020'!C27-C$43)^3</f>
        <v>3.518571518831109E-3</v>
      </c>
    </row>
    <row r="163" spans="1:3" ht="15" x14ac:dyDescent="0.25">
      <c r="A163" s="3" t="s">
        <v>21</v>
      </c>
      <c r="B163" s="3" t="s">
        <v>42</v>
      </c>
      <c r="C163">
        <f>'Bobot M'!J28*('2020'!C28-C$43)^3</f>
        <v>22.313929527369073</v>
      </c>
    </row>
    <row r="164" spans="1:3" ht="15" x14ac:dyDescent="0.25">
      <c r="A164" s="3" t="s">
        <v>21</v>
      </c>
      <c r="B164" s="3" t="s">
        <v>43</v>
      </c>
      <c r="C164">
        <f>'Bobot M'!J29*('2020'!C29-C$43)^3</f>
        <v>1.9849433424211964E-2</v>
      </c>
    </row>
    <row r="165" spans="1:3" ht="15" x14ac:dyDescent="0.25">
      <c r="A165" s="3" t="s">
        <v>21</v>
      </c>
      <c r="B165" s="3" t="s">
        <v>44</v>
      </c>
      <c r="C165">
        <f>'Bobot M'!J30*('2020'!C30-C$43)^3</f>
        <v>23.225017962900971</v>
      </c>
    </row>
    <row r="166" spans="1:3" ht="15" x14ac:dyDescent="0.25">
      <c r="A166" s="3" t="s">
        <v>21</v>
      </c>
      <c r="B166" s="3" t="s">
        <v>45</v>
      </c>
      <c r="C166">
        <f>'Bobot M'!J31*('2020'!C31-C$43)^3</f>
        <v>15.429678562279964</v>
      </c>
    </row>
    <row r="167" spans="1:3" ht="15" x14ac:dyDescent="0.25">
      <c r="A167" s="3" t="s">
        <v>21</v>
      </c>
      <c r="B167" s="3" t="s">
        <v>46</v>
      </c>
      <c r="C167">
        <f>'Bobot M'!J32*('2020'!C32-C$43)^3</f>
        <v>0.86110458354615127</v>
      </c>
    </row>
    <row r="168" spans="1:3" ht="15" x14ac:dyDescent="0.25">
      <c r="A168" s="3" t="s">
        <v>21</v>
      </c>
      <c r="B168" s="3" t="s">
        <v>47</v>
      </c>
      <c r="C168">
        <f>'Bobot M'!J33*('2020'!C33-C$43)^3</f>
        <v>-4.34617839883284E-4</v>
      </c>
    </row>
    <row r="169" spans="1:3" ht="15" x14ac:dyDescent="0.25">
      <c r="A169" s="3" t="s">
        <v>21</v>
      </c>
      <c r="B169" s="3" t="s">
        <v>48</v>
      </c>
      <c r="C169">
        <f>'Bobot M'!J34*('2020'!C34-C$43)^3</f>
        <v>-1.5879104115113007E-2</v>
      </c>
    </row>
    <row r="170" spans="1:3" ht="15" x14ac:dyDescent="0.25">
      <c r="A170" s="3" t="s">
        <v>49</v>
      </c>
      <c r="B170" s="3" t="s">
        <v>50</v>
      </c>
      <c r="C170">
        <f>'Bobot M'!J35*('2020'!C35-C$43)^3</f>
        <v>-1.2674035958992323E-2</v>
      </c>
    </row>
    <row r="171" spans="1:3" ht="15" x14ac:dyDescent="0.25">
      <c r="A171" s="3" t="s">
        <v>49</v>
      </c>
      <c r="B171" s="3" t="s">
        <v>51</v>
      </c>
      <c r="C171">
        <f>'Bobot M'!J36*('2020'!C36-C$43)^3</f>
        <v>-1.9968003937152763E-2</v>
      </c>
    </row>
    <row r="172" spans="1:3" ht="15" x14ac:dyDescent="0.25">
      <c r="A172" s="3" t="s">
        <v>49</v>
      </c>
      <c r="B172" s="3" t="s">
        <v>52</v>
      </c>
      <c r="C172">
        <f>'Bobot M'!J37*('2020'!C37-C$43)^3</f>
        <v>-1.6823062145412984E-4</v>
      </c>
    </row>
    <row r="173" spans="1:3" ht="15" x14ac:dyDescent="0.25">
      <c r="A173" s="3" t="s">
        <v>49</v>
      </c>
      <c r="B173" s="3" t="s">
        <v>53</v>
      </c>
      <c r="C173">
        <f>'Bobot M'!J38*('2020'!C38-C$43)^3</f>
        <v>-8.2026962169114634E-3</v>
      </c>
    </row>
    <row r="174" spans="1:3" ht="15" x14ac:dyDescent="0.25">
      <c r="A174" s="3" t="s">
        <v>49</v>
      </c>
      <c r="B174" s="3" t="s">
        <v>54</v>
      </c>
      <c r="C174">
        <f>'Bobot M'!J39*('2020'!C39-C$43)^3</f>
        <v>3.7367571914552564E-3</v>
      </c>
    </row>
    <row r="175" spans="1:3" ht="15" x14ac:dyDescent="0.25">
      <c r="A175" s="3" t="s">
        <v>49</v>
      </c>
      <c r="B175" s="3" t="s">
        <v>55</v>
      </c>
      <c r="C175">
        <f>'Bobot M'!J40*('2020'!C40-C$43)^3</f>
        <v>-2.4067674481081615E-7</v>
      </c>
    </row>
    <row r="176" spans="1:3" ht="15" x14ac:dyDescent="0.25">
      <c r="A176" s="3" t="s">
        <v>49</v>
      </c>
      <c r="B176" s="3" t="s">
        <v>56</v>
      </c>
      <c r="C176">
        <f>'Bobot M'!J41*('2020'!C41-C$43)^3</f>
        <v>-2.0964309897929334E-5</v>
      </c>
    </row>
    <row r="177" spans="1:14" ht="15" x14ac:dyDescent="0.25">
      <c r="A177" s="3" t="s">
        <v>49</v>
      </c>
      <c r="B177" s="3" t="s">
        <v>57</v>
      </c>
      <c r="C177">
        <f>'Bobot M'!J42*('2020'!C42-C$43)^3</f>
        <v>1.1702352285924391E-2</v>
      </c>
    </row>
    <row r="178" spans="1:14" ht="15" x14ac:dyDescent="0.25">
      <c r="B178" s="3" t="s">
        <v>73</v>
      </c>
      <c r="C178">
        <f>SUM(C137:C177)</f>
        <v>105.42970493276502</v>
      </c>
    </row>
    <row r="179" spans="1:14" ht="15" x14ac:dyDescent="0.25">
      <c r="B179" s="3" t="s">
        <v>75</v>
      </c>
      <c r="C179">
        <f>C44^3</f>
        <v>230.16041675866992</v>
      </c>
    </row>
    <row r="180" spans="1:14" x14ac:dyDescent="0.2">
      <c r="C180">
        <f>C178/C179</f>
        <v>0.45807053366309819</v>
      </c>
    </row>
    <row r="182" spans="1:14" x14ac:dyDescent="0.2">
      <c r="A182" t="s">
        <v>77</v>
      </c>
    </row>
    <row r="183" spans="1:14" x14ac:dyDescent="0.2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6</v>
      </c>
      <c r="H183" s="1" t="s">
        <v>7</v>
      </c>
      <c r="I183" s="1" t="s">
        <v>8</v>
      </c>
      <c r="J183" s="1" t="s">
        <v>9</v>
      </c>
      <c r="K183" s="1" t="s">
        <v>10</v>
      </c>
      <c r="L183" s="1" t="s">
        <v>11</v>
      </c>
      <c r="M183" s="1" t="s">
        <v>12</v>
      </c>
      <c r="N183" s="1" t="s">
        <v>13</v>
      </c>
    </row>
    <row r="184" spans="1:14" ht="15" x14ac:dyDescent="0.25">
      <c r="A184" s="3" t="s">
        <v>14</v>
      </c>
      <c r="B184" s="3" t="s">
        <v>15</v>
      </c>
      <c r="C184">
        <f>'Bobot M'!$J2*('2020'!C2-C$43)^2</f>
        <v>1.4398239887029836E-3</v>
      </c>
    </row>
    <row r="185" spans="1:14" ht="15" x14ac:dyDescent="0.25">
      <c r="A185" s="3" t="s">
        <v>14</v>
      </c>
      <c r="B185" s="3" t="s">
        <v>16</v>
      </c>
      <c r="C185">
        <f>'Bobot M'!$J3*('2020'!C3-C$43)^2</f>
        <v>4.8654473136660261</v>
      </c>
    </row>
    <row r="186" spans="1:14" ht="15" x14ac:dyDescent="0.25">
      <c r="A186" s="3" t="s">
        <v>14</v>
      </c>
      <c r="B186" s="3" t="s">
        <v>17</v>
      </c>
      <c r="C186">
        <f>'Bobot M'!$J4*('2020'!C4-C$43)^2</f>
        <v>4.4686956617667253</v>
      </c>
    </row>
    <row r="187" spans="1:14" ht="15" x14ac:dyDescent="0.25">
      <c r="A187" s="3" t="s">
        <v>14</v>
      </c>
      <c r="B187" s="3" t="s">
        <v>18</v>
      </c>
      <c r="C187">
        <f>'Bobot M'!$J5*('2020'!C5-C$43)^2</f>
        <v>1.1392231546698881</v>
      </c>
    </row>
    <row r="188" spans="1:14" ht="15" x14ac:dyDescent="0.25">
      <c r="A188" s="3" t="s">
        <v>14</v>
      </c>
      <c r="B188" s="3" t="s">
        <v>19</v>
      </c>
      <c r="C188">
        <f>'Bobot M'!$J6*('2020'!C6-C$43)^2</f>
        <v>2.654397138280407</v>
      </c>
    </row>
    <row r="189" spans="1:14" ht="15" x14ac:dyDescent="0.25">
      <c r="A189" s="3" t="s">
        <v>14</v>
      </c>
      <c r="B189" s="3" t="s">
        <v>20</v>
      </c>
      <c r="C189">
        <f>'Bobot M'!$J7*('2020'!C7-C$43)^2</f>
        <v>1.443022366992172</v>
      </c>
    </row>
    <row r="190" spans="1:14" ht="15" x14ac:dyDescent="0.25">
      <c r="A190" s="3" t="s">
        <v>21</v>
      </c>
      <c r="B190" s="3" t="s">
        <v>22</v>
      </c>
      <c r="C190">
        <f>'Bobot M'!$J8*('2020'!C8-C$43)^2</f>
        <v>0.81495630736344327</v>
      </c>
    </row>
    <row r="191" spans="1:14" ht="15" x14ac:dyDescent="0.25">
      <c r="A191" s="3" t="s">
        <v>21</v>
      </c>
      <c r="B191" s="3" t="s">
        <v>23</v>
      </c>
      <c r="C191">
        <f>'Bobot M'!$J9*('2020'!C9-C$43)^2</f>
        <v>1.9452966718490765</v>
      </c>
    </row>
    <row r="192" spans="1:14" ht="15" x14ac:dyDescent="0.25">
      <c r="A192" s="3" t="s">
        <v>21</v>
      </c>
      <c r="B192" s="3" t="s">
        <v>24</v>
      </c>
      <c r="C192">
        <f>'Bobot M'!$J10*('2020'!C10-C$43)^2</f>
        <v>2.7010794233775779</v>
      </c>
    </row>
    <row r="193" spans="1:3" ht="15" x14ac:dyDescent="0.25">
      <c r="A193" s="3" t="s">
        <v>21</v>
      </c>
      <c r="B193" s="3" t="s">
        <v>25</v>
      </c>
      <c r="C193">
        <f>'Bobot M'!$J11*('2020'!C11-C$43)^2</f>
        <v>5.8838421816063746E-2</v>
      </c>
    </row>
    <row r="194" spans="1:3" ht="15" x14ac:dyDescent="0.25">
      <c r="A194" s="3" t="s">
        <v>21</v>
      </c>
      <c r="B194" s="3" t="s">
        <v>26</v>
      </c>
      <c r="C194">
        <f>'Bobot M'!$J12*('2020'!C12-C$43)^2</f>
        <v>2.3171354569913052</v>
      </c>
    </row>
    <row r="195" spans="1:3" ht="15" x14ac:dyDescent="0.25">
      <c r="A195" s="3" t="s">
        <v>21</v>
      </c>
      <c r="B195" s="3" t="s">
        <v>27</v>
      </c>
      <c r="C195">
        <f>'Bobot M'!$J13*('2020'!C13-C$43)^2</f>
        <v>1.867094223426806</v>
      </c>
    </row>
    <row r="196" spans="1:3" ht="15" x14ac:dyDescent="0.25">
      <c r="A196" s="3" t="s">
        <v>21</v>
      </c>
      <c r="B196" s="3" t="s">
        <v>28</v>
      </c>
      <c r="C196">
        <f>'Bobot M'!$J14*('2020'!C14-C$43)^2</f>
        <v>0.17156588795144365</v>
      </c>
    </row>
    <row r="197" spans="1:3" ht="15" x14ac:dyDescent="0.25">
      <c r="A197" s="3" t="s">
        <v>21</v>
      </c>
      <c r="B197" s="3" t="s">
        <v>29</v>
      </c>
      <c r="C197">
        <f>'Bobot M'!$J15*('2020'!C15-C$43)^2</f>
        <v>0.31495788552767062</v>
      </c>
    </row>
    <row r="198" spans="1:3" ht="15" x14ac:dyDescent="0.25">
      <c r="A198" s="3" t="s">
        <v>21</v>
      </c>
      <c r="B198" s="3" t="s">
        <v>30</v>
      </c>
      <c r="C198">
        <f>'Bobot M'!$J16*('2020'!C16-C$43)^2</f>
        <v>0.82789268264639826</v>
      </c>
    </row>
    <row r="199" spans="1:3" ht="15" x14ac:dyDescent="0.25">
      <c r="A199" s="3" t="s">
        <v>21</v>
      </c>
      <c r="B199" s="3" t="s">
        <v>31</v>
      </c>
      <c r="C199">
        <f>'Bobot M'!$J17*('2020'!C17-C$43)^2</f>
        <v>0.73828059889314668</v>
      </c>
    </row>
    <row r="200" spans="1:3" ht="15" x14ac:dyDescent="0.25">
      <c r="A200" s="3" t="s">
        <v>21</v>
      </c>
      <c r="B200" s="3" t="s">
        <v>32</v>
      </c>
      <c r="C200">
        <f>'Bobot M'!$J18*('2020'!C18-C$43)^2</f>
        <v>5.8176521487883562E-2</v>
      </c>
    </row>
    <row r="201" spans="1:3" ht="15" x14ac:dyDescent="0.25">
      <c r="A201" s="3" t="s">
        <v>21</v>
      </c>
      <c r="B201" s="3" t="s">
        <v>33</v>
      </c>
      <c r="C201">
        <f>'Bobot M'!$J19*('2020'!C19-C$43)^2</f>
        <v>1.1522887060764024</v>
      </c>
    </row>
    <row r="202" spans="1:3" ht="15" x14ac:dyDescent="0.25">
      <c r="A202" s="3" t="s">
        <v>21</v>
      </c>
      <c r="B202" s="3" t="s">
        <v>34</v>
      </c>
      <c r="C202">
        <f>'Bobot M'!$J20*('2020'!C20-C$43)^2</f>
        <v>0.53162811428832291</v>
      </c>
    </row>
    <row r="203" spans="1:3" ht="15" x14ac:dyDescent="0.25">
      <c r="A203" s="3" t="s">
        <v>21</v>
      </c>
      <c r="B203" s="3" t="s">
        <v>35</v>
      </c>
      <c r="C203">
        <f>'Bobot M'!$J21*('2020'!C21-C$43)^2</f>
        <v>0.11066229917921917</v>
      </c>
    </row>
    <row r="204" spans="1:3" ht="15" x14ac:dyDescent="0.25">
      <c r="A204" s="3" t="s">
        <v>21</v>
      </c>
      <c r="B204" s="3" t="s">
        <v>36</v>
      </c>
      <c r="C204">
        <f>'Bobot M'!$J22*('2020'!C22-C$43)^2</f>
        <v>0.30493806081483055</v>
      </c>
    </row>
    <row r="205" spans="1:3" ht="15" x14ac:dyDescent="0.25">
      <c r="A205" s="3" t="s">
        <v>21</v>
      </c>
      <c r="B205" s="3" t="s">
        <v>37</v>
      </c>
      <c r="C205">
        <f>'Bobot M'!$J23*('2020'!C23-C$43)^2</f>
        <v>2.610485987135602E-2</v>
      </c>
    </row>
    <row r="206" spans="1:3" ht="15" x14ac:dyDescent="0.25">
      <c r="A206" s="3" t="s">
        <v>21</v>
      </c>
      <c r="B206" s="3" t="s">
        <v>38</v>
      </c>
      <c r="C206">
        <f>'Bobot M'!$J24*('2020'!C24-C$43)^2</f>
        <v>0.85418095463595034</v>
      </c>
    </row>
    <row r="207" spans="1:3" ht="15" x14ac:dyDescent="0.25">
      <c r="A207" s="3" t="s">
        <v>21</v>
      </c>
      <c r="B207" s="3" t="s">
        <v>39</v>
      </c>
      <c r="C207">
        <f>'Bobot M'!$J25*('2020'!C25-C$43)^2</f>
        <v>0.20108223769888808</v>
      </c>
    </row>
    <row r="208" spans="1:3" ht="15" x14ac:dyDescent="0.25">
      <c r="A208" s="3" t="s">
        <v>21</v>
      </c>
      <c r="B208" s="3" t="s">
        <v>40</v>
      </c>
      <c r="C208">
        <f>'Bobot M'!$J26*('2020'!C26-C$43)^2</f>
        <v>0.13263882299222177</v>
      </c>
    </row>
    <row r="209" spans="1:3" ht="15" x14ac:dyDescent="0.25">
      <c r="A209" s="3" t="s">
        <v>21</v>
      </c>
      <c r="B209" s="3" t="s">
        <v>41</v>
      </c>
      <c r="C209">
        <f>'Bobot M'!$J27*('2020'!C27-C$43)^2</f>
        <v>4.1842352927144505E-3</v>
      </c>
    </row>
    <row r="210" spans="1:3" ht="15" x14ac:dyDescent="0.25">
      <c r="A210" s="3" t="s">
        <v>21</v>
      </c>
      <c r="B210" s="3" t="s">
        <v>42</v>
      </c>
      <c r="C210">
        <f>'Bobot M'!$J28*('2020'!C28-C$43)^2</f>
        <v>2.7409620611951762</v>
      </c>
    </row>
    <row r="211" spans="1:3" ht="15" x14ac:dyDescent="0.25">
      <c r="A211" s="3" t="s">
        <v>21</v>
      </c>
      <c r="B211" s="3" t="s">
        <v>43</v>
      </c>
      <c r="C211">
        <f>'Bobot M'!$J29*('2020'!C29-C$43)^2</f>
        <v>1.3051011583262285E-2</v>
      </c>
    </row>
    <row r="212" spans="1:3" ht="15" x14ac:dyDescent="0.25">
      <c r="A212" s="3" t="s">
        <v>21</v>
      </c>
      <c r="B212" s="3" t="s">
        <v>44</v>
      </c>
      <c r="C212">
        <f>'Bobot M'!$J30*('2020'!C30-C$43)^2</f>
        <v>2.8563855358856243</v>
      </c>
    </row>
    <row r="213" spans="1:3" ht="15" x14ac:dyDescent="0.25">
      <c r="A213" s="3" t="s">
        <v>21</v>
      </c>
      <c r="B213" s="3" t="s">
        <v>45</v>
      </c>
      <c r="C213">
        <f>'Bobot M'!$J31*('2020'!C31-C$43)^2</f>
        <v>2.0299774033923317</v>
      </c>
    </row>
    <row r="214" spans="1:3" ht="15" x14ac:dyDescent="0.25">
      <c r="A214" s="3" t="s">
        <v>21</v>
      </c>
      <c r="B214" s="3" t="s">
        <v>46</v>
      </c>
      <c r="C214">
        <f>'Bobot M'!$J32*('2020'!C32-C$43)^2</f>
        <v>0.19303332652971736</v>
      </c>
    </row>
    <row r="215" spans="1:3" ht="15" x14ac:dyDescent="0.25">
      <c r="A215" s="3" t="s">
        <v>21</v>
      </c>
      <c r="B215" s="3" t="s">
        <v>47</v>
      </c>
      <c r="C215">
        <f>'Bobot M'!$J33*('2020'!C33-C$43)^2</f>
        <v>1.320671557130585E-3</v>
      </c>
    </row>
    <row r="216" spans="1:3" ht="15" x14ac:dyDescent="0.25">
      <c r="A216" s="3" t="s">
        <v>21</v>
      </c>
      <c r="B216" s="3" t="s">
        <v>48</v>
      </c>
      <c r="C216">
        <f>'Bobot M'!$J34*('2020'!C34-C$43)^2</f>
        <v>9.5136381230440693E-3</v>
      </c>
    </row>
    <row r="217" spans="1:3" ht="15" x14ac:dyDescent="0.25">
      <c r="A217" s="3" t="s">
        <v>49</v>
      </c>
      <c r="B217" s="3" t="s">
        <v>50</v>
      </c>
      <c r="C217">
        <f>'Bobot M'!$J35*('2020'!C35-C$43)^2</f>
        <v>1.5143866549116917E-3</v>
      </c>
    </row>
    <row r="218" spans="1:3" ht="15" x14ac:dyDescent="0.25">
      <c r="A218" s="3" t="s">
        <v>49</v>
      </c>
      <c r="B218" s="3" t="s">
        <v>51</v>
      </c>
      <c r="C218">
        <f>'Bobot M'!$J36*('2020'!C36-C$43)^2</f>
        <v>2.1109860541144347E-3</v>
      </c>
    </row>
    <row r="219" spans="1:3" ht="15" x14ac:dyDescent="0.25">
      <c r="A219" s="3" t="s">
        <v>49</v>
      </c>
      <c r="B219" s="3" t="s">
        <v>52</v>
      </c>
      <c r="C219">
        <f>'Bobot M'!$J37*('2020'!C37-C$43)^2</f>
        <v>1.1609409629449842E-4</v>
      </c>
    </row>
    <row r="220" spans="1:3" ht="15" x14ac:dyDescent="0.25">
      <c r="A220" s="3" t="s">
        <v>49</v>
      </c>
      <c r="B220" s="3" t="s">
        <v>53</v>
      </c>
      <c r="C220">
        <f>'Bobot M'!$J38*('2020'!C38-C$43)^2</f>
        <v>1.2299576171472212E-3</v>
      </c>
    </row>
    <row r="221" spans="1:3" ht="15" x14ac:dyDescent="0.25">
      <c r="A221" s="3" t="s">
        <v>49</v>
      </c>
      <c r="B221" s="3" t="s">
        <v>54</v>
      </c>
      <c r="C221">
        <f>'Bobot M'!$J39*('2020'!C39-C$43)^2</f>
        <v>7.6558593655700019E-4</v>
      </c>
    </row>
    <row r="222" spans="1:3" ht="15" x14ac:dyDescent="0.25">
      <c r="A222" s="3" t="s">
        <v>49</v>
      </c>
      <c r="B222" s="3" t="s">
        <v>55</v>
      </c>
      <c r="C222">
        <f>'Bobot M'!$J40*('2020'!C40-C$43)^2</f>
        <v>7.5426326690678029E-7</v>
      </c>
    </row>
    <row r="223" spans="1:3" ht="15" x14ac:dyDescent="0.25">
      <c r="A223" s="3" t="s">
        <v>49</v>
      </c>
      <c r="B223" s="3" t="s">
        <v>56</v>
      </c>
      <c r="C223">
        <f>'Bobot M'!$J41*('2020'!C41-C$43)^2</f>
        <v>1.7338937273475621E-5</v>
      </c>
    </row>
    <row r="224" spans="1:3" ht="15" x14ac:dyDescent="0.25">
      <c r="A224" s="3" t="s">
        <v>49</v>
      </c>
      <c r="B224" s="3" t="s">
        <v>57</v>
      </c>
      <c r="C224">
        <f>'Bobot M'!$J42*('2020'!C42-C$43)^2</f>
        <v>1.4644577537938524E-3</v>
      </c>
    </row>
    <row r="225" spans="1:14" ht="15" x14ac:dyDescent="0.25">
      <c r="B225" s="3" t="s">
        <v>77</v>
      </c>
      <c r="C225">
        <f>SQRT(SUM(C184:C224))</f>
        <v>6.1283497812318348</v>
      </c>
    </row>
    <row r="227" spans="1:14" ht="15" x14ac:dyDescent="0.25">
      <c r="A227" s="3" t="s">
        <v>80</v>
      </c>
    </row>
    <row r="228" spans="1:14" x14ac:dyDescent="0.2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 t="s">
        <v>5</v>
      </c>
      <c r="G228" s="1" t="s">
        <v>6</v>
      </c>
      <c r="H228" s="1" t="s">
        <v>7</v>
      </c>
      <c r="I228" s="1" t="s">
        <v>8</v>
      </c>
      <c r="J228" s="1" t="s">
        <v>9</v>
      </c>
      <c r="K228" s="1" t="s">
        <v>10</v>
      </c>
      <c r="L228" s="1" t="s">
        <v>11</v>
      </c>
      <c r="M228" s="1" t="s">
        <v>12</v>
      </c>
      <c r="N228" s="1" t="s">
        <v>13</v>
      </c>
    </row>
    <row r="229" spans="1:14" ht="15" x14ac:dyDescent="0.25">
      <c r="A229" s="3" t="s">
        <v>14</v>
      </c>
      <c r="B229" s="3" t="s">
        <v>15</v>
      </c>
      <c r="C229">
        <f>'Bobot M'!J2*('2020'!C2-C$43)^4</f>
        <v>4.3546452228023606E-3</v>
      </c>
    </row>
    <row r="230" spans="1:14" ht="15" x14ac:dyDescent="0.25">
      <c r="A230" s="3" t="s">
        <v>14</v>
      </c>
      <c r="B230" s="3" t="s">
        <v>16</v>
      </c>
      <c r="C230">
        <f>'Bobot M'!J3*('2020'!C3-C$43)^4</f>
        <v>626.87976030239577</v>
      </c>
    </row>
    <row r="231" spans="1:14" ht="15" x14ac:dyDescent="0.25">
      <c r="A231" s="3" t="s">
        <v>14</v>
      </c>
      <c r="B231" s="3" t="s">
        <v>17</v>
      </c>
      <c r="C231">
        <f>'Bobot M'!J4*('2020'!C4-C$43)^4</f>
        <v>385.74244018901999</v>
      </c>
    </row>
    <row r="232" spans="1:14" ht="15" x14ac:dyDescent="0.25">
      <c r="A232" s="3" t="s">
        <v>14</v>
      </c>
      <c r="B232" s="3" t="s">
        <v>18</v>
      </c>
      <c r="C232">
        <f>'Bobot M'!J5*('2020'!C5-C$43)^4</f>
        <v>73.291945659477321</v>
      </c>
    </row>
    <row r="233" spans="1:14" ht="15" x14ac:dyDescent="0.25">
      <c r="A233" s="3" t="s">
        <v>14</v>
      </c>
      <c r="B233" s="3" t="s">
        <v>19</v>
      </c>
      <c r="C233">
        <f>'Bobot M'!J6*('2020'!C6-C$43)^4</f>
        <v>170.34514757005562</v>
      </c>
    </row>
    <row r="234" spans="1:14" ht="15" x14ac:dyDescent="0.25">
      <c r="A234" s="3" t="s">
        <v>14</v>
      </c>
      <c r="B234" s="3" t="s">
        <v>20</v>
      </c>
      <c r="C234">
        <f>'Bobot M'!J7*('2020'!C7-C$43)^4</f>
        <v>69.119351157114693</v>
      </c>
    </row>
    <row r="235" spans="1:14" ht="15" x14ac:dyDescent="0.25">
      <c r="A235" s="3" t="s">
        <v>21</v>
      </c>
      <c r="B235" s="3" t="s">
        <v>22</v>
      </c>
      <c r="C235">
        <f>'Bobot M'!J8*('2020'!C8-C$43)^4</f>
        <v>7.1842364091534989</v>
      </c>
    </row>
    <row r="236" spans="1:14" ht="15" x14ac:dyDescent="0.25">
      <c r="A236" s="3" t="s">
        <v>21</v>
      </c>
      <c r="B236" s="3" t="s">
        <v>23</v>
      </c>
      <c r="C236">
        <f>'Bobot M'!J9*('2020'!C9-C$43)^4</f>
        <v>81.913076981058893</v>
      </c>
    </row>
    <row r="237" spans="1:14" ht="15" x14ac:dyDescent="0.25">
      <c r="A237" s="3" t="s">
        <v>21</v>
      </c>
      <c r="B237" s="3" t="s">
        <v>24</v>
      </c>
      <c r="C237">
        <f>'Bobot M'!J10*('2020'!C10-C$43)^4</f>
        <v>173.26208696776146</v>
      </c>
    </row>
    <row r="238" spans="1:14" ht="15" x14ac:dyDescent="0.25">
      <c r="A238" s="3" t="s">
        <v>21</v>
      </c>
      <c r="B238" s="3" t="s">
        <v>25</v>
      </c>
      <c r="C238">
        <f>'Bobot M'!J11*('2020'!C11-C$43)^4</f>
        <v>5.6403353586704369E-2</v>
      </c>
    </row>
    <row r="239" spans="1:14" ht="15" x14ac:dyDescent="0.25">
      <c r="A239" s="3" t="s">
        <v>21</v>
      </c>
      <c r="B239" s="3" t="s">
        <v>26</v>
      </c>
      <c r="C239">
        <f>'Bobot M'!J12*('2020'!C12-C$43)^4</f>
        <v>121.76380984500599</v>
      </c>
    </row>
    <row r="240" spans="1:14" ht="15" x14ac:dyDescent="0.25">
      <c r="A240" s="3" t="s">
        <v>21</v>
      </c>
      <c r="B240" s="3" t="s">
        <v>27</v>
      </c>
      <c r="C240">
        <f>'Bobot M'!J13*('2020'!C13-C$43)^4</f>
        <v>110.67380986510156</v>
      </c>
    </row>
    <row r="241" spans="1:3" ht="15" x14ac:dyDescent="0.25">
      <c r="A241" s="3" t="s">
        <v>21</v>
      </c>
      <c r="B241" s="3" t="s">
        <v>28</v>
      </c>
      <c r="C241">
        <f>'Bobot M'!J14*('2020'!C14-C$43)^4</f>
        <v>1.4221354950595684</v>
      </c>
    </row>
    <row r="242" spans="1:3" ht="15" x14ac:dyDescent="0.25">
      <c r="A242" s="3" t="s">
        <v>21</v>
      </c>
      <c r="B242" s="3" t="s">
        <v>29</v>
      </c>
      <c r="C242">
        <f>'Bobot M'!J15*('2020'!C15-C$43)^4</f>
        <v>5.0118703983891324</v>
      </c>
    </row>
    <row r="243" spans="1:3" ht="15" x14ac:dyDescent="0.25">
      <c r="A243" s="3" t="s">
        <v>21</v>
      </c>
      <c r="B243" s="3" t="s">
        <v>30</v>
      </c>
      <c r="C243">
        <f>'Bobot M'!J16*('2020'!C16-C$43)^4</f>
        <v>17.663900641028114</v>
      </c>
    </row>
    <row r="244" spans="1:3" ht="15" x14ac:dyDescent="0.25">
      <c r="A244" s="3" t="s">
        <v>21</v>
      </c>
      <c r="B244" s="3" t="s">
        <v>31</v>
      </c>
      <c r="C244">
        <f>'Bobot M'!J17*('2020'!C17-C$43)^4</f>
        <v>24.656995072376162</v>
      </c>
    </row>
    <row r="245" spans="1:3" ht="15" x14ac:dyDescent="0.25">
      <c r="A245" s="3" t="s">
        <v>21</v>
      </c>
      <c r="B245" s="3" t="s">
        <v>32</v>
      </c>
      <c r="C245">
        <f>'Bobot M'!J18*('2020'!C18-C$43)^4</f>
        <v>0.17393308572988578</v>
      </c>
    </row>
    <row r="246" spans="1:3" ht="15" x14ac:dyDescent="0.25">
      <c r="A246" s="3" t="s">
        <v>21</v>
      </c>
      <c r="B246" s="3" t="s">
        <v>33</v>
      </c>
      <c r="C246">
        <f>'Bobot M'!J19*('2020'!C19-C$43)^4</f>
        <v>42.583194590593124</v>
      </c>
    </row>
    <row r="247" spans="1:3" ht="15" x14ac:dyDescent="0.25">
      <c r="A247" s="3" t="s">
        <v>21</v>
      </c>
      <c r="B247" s="3" t="s">
        <v>34</v>
      </c>
      <c r="C247">
        <f>'Bobot M'!J20*('2020'!C20-C$43)^4</f>
        <v>10.381816319674098</v>
      </c>
    </row>
    <row r="248" spans="1:3" ht="15" x14ac:dyDescent="0.25">
      <c r="A248" s="3" t="s">
        <v>21</v>
      </c>
      <c r="B248" s="3" t="s">
        <v>35</v>
      </c>
      <c r="C248">
        <f>'Bobot M'!J21*('2020'!C21-C$43)^4</f>
        <v>0.71906726981301183</v>
      </c>
    </row>
    <row r="249" spans="1:3" ht="15" x14ac:dyDescent="0.25">
      <c r="A249" s="3" t="s">
        <v>21</v>
      </c>
      <c r="B249" s="3" t="s">
        <v>36</v>
      </c>
      <c r="C249">
        <f>'Bobot M'!J22*('2020'!C22-C$43)^4</f>
        <v>2.2379893938445656</v>
      </c>
    </row>
    <row r="250" spans="1:3" ht="15" x14ac:dyDescent="0.25">
      <c r="A250" s="3" t="s">
        <v>21</v>
      </c>
      <c r="B250" s="3" t="s">
        <v>37</v>
      </c>
      <c r="C250">
        <f>'Bobot M'!J23*('2020'!C23-C$43)^4</f>
        <v>1.2824714934363116E-2</v>
      </c>
    </row>
    <row r="251" spans="1:3" ht="15" x14ac:dyDescent="0.25">
      <c r="A251" s="3" t="s">
        <v>21</v>
      </c>
      <c r="B251" s="3" t="s">
        <v>38</v>
      </c>
      <c r="C251">
        <f>'Bobot M'!J24*('2020'!C24-C$43)^4</f>
        <v>23.895248647270538</v>
      </c>
    </row>
    <row r="252" spans="1:3" ht="15" x14ac:dyDescent="0.25">
      <c r="A252" s="3" t="s">
        <v>21</v>
      </c>
      <c r="B252" s="3" t="s">
        <v>39</v>
      </c>
      <c r="C252">
        <f>'Bobot M'!J25*('2020'!C25-C$43)^4</f>
        <v>5.6677885765959841</v>
      </c>
    </row>
    <row r="253" spans="1:3" ht="15" x14ac:dyDescent="0.25">
      <c r="A253" s="3" t="s">
        <v>21</v>
      </c>
      <c r="B253" s="3" t="s">
        <v>40</v>
      </c>
      <c r="C253">
        <f>'Bobot M'!J26*('2020'!C26-C$43)^4</f>
        <v>0.99646186127557124</v>
      </c>
    </row>
    <row r="254" spans="1:3" ht="15" x14ac:dyDescent="0.25">
      <c r="A254" s="3" t="s">
        <v>21</v>
      </c>
      <c r="B254" s="3" t="s">
        <v>41</v>
      </c>
      <c r="C254">
        <f>'Bobot M'!J27*('2020'!C27-C$43)^4</f>
        <v>2.9588072053897156E-3</v>
      </c>
    </row>
    <row r="255" spans="1:3" ht="15" x14ac:dyDescent="0.25">
      <c r="A255" s="3" t="s">
        <v>21</v>
      </c>
      <c r="B255" s="3" t="s">
        <v>42</v>
      </c>
      <c r="C255">
        <f>'Bobot M'!J28*('2020'!C28-C$43)^4</f>
        <v>181.65572519281164</v>
      </c>
    </row>
    <row r="256" spans="1:3" ht="15" x14ac:dyDescent="0.25">
      <c r="A256" s="3" t="s">
        <v>21</v>
      </c>
      <c r="B256" s="3" t="s">
        <v>43</v>
      </c>
      <c r="C256">
        <f>'Bobot M'!J29*('2020'!C29-C$43)^4</f>
        <v>3.0189231290509447E-2</v>
      </c>
    </row>
    <row r="257" spans="1:3" ht="15" x14ac:dyDescent="0.25">
      <c r="A257" s="3" t="s">
        <v>21</v>
      </c>
      <c r="B257" s="3" t="s">
        <v>44</v>
      </c>
      <c r="C257">
        <f>'Bobot M'!J30*('2020'!C30-C$43)^4</f>
        <v>188.84056532299692</v>
      </c>
    </row>
    <row r="258" spans="1:3" ht="15" x14ac:dyDescent="0.25">
      <c r="A258" s="3" t="s">
        <v>21</v>
      </c>
      <c r="B258" s="3" t="s">
        <v>45</v>
      </c>
      <c r="C258">
        <f>'Bobot M'!J31*('2020'!C31-C$43)^4</f>
        <v>117.27962101323418</v>
      </c>
    </row>
    <row r="259" spans="1:3" ht="15" x14ac:dyDescent="0.25">
      <c r="A259" s="3" t="s">
        <v>21</v>
      </c>
      <c r="B259" s="3" t="s">
        <v>46</v>
      </c>
      <c r="C259">
        <f>'Bobot M'!J32*('2020'!C32-C$43)^4</f>
        <v>3.8413113276066184</v>
      </c>
    </row>
    <row r="260" spans="1:3" ht="15" x14ac:dyDescent="0.25">
      <c r="A260" s="3" t="s">
        <v>21</v>
      </c>
      <c r="B260" s="3" t="s">
        <v>47</v>
      </c>
      <c r="C260">
        <f>'Bobot M'!J33*('2020'!C33-C$43)^4</f>
        <v>1.4302773897487258E-4</v>
      </c>
    </row>
    <row r="261" spans="1:3" ht="15" x14ac:dyDescent="0.25">
      <c r="A261" s="3" t="s">
        <v>21</v>
      </c>
      <c r="B261" s="3" t="s">
        <v>48</v>
      </c>
      <c r="C261">
        <f>'Bobot M'!J34*('2020'!C34-C$43)^4</f>
        <v>2.6503630287118801E-2</v>
      </c>
    </row>
    <row r="262" spans="1:3" ht="15" x14ac:dyDescent="0.25">
      <c r="A262" s="3" t="s">
        <v>49</v>
      </c>
      <c r="B262" s="3" t="s">
        <v>50</v>
      </c>
      <c r="C262">
        <f>'Bobot M'!J35*('2020'!C35-C$43)^4</f>
        <v>0.10607012876721192</v>
      </c>
    </row>
    <row r="263" spans="1:3" ht="15" x14ac:dyDescent="0.25">
      <c r="A263" s="3" t="s">
        <v>49</v>
      </c>
      <c r="B263" s="3" t="s">
        <v>51</v>
      </c>
      <c r="C263">
        <f>'Bobot M'!J36*('2020'!C36-C$43)^4</f>
        <v>0.18887911668436536</v>
      </c>
    </row>
    <row r="264" spans="1:3" ht="15" x14ac:dyDescent="0.25">
      <c r="A264" s="3" t="s">
        <v>49</v>
      </c>
      <c r="B264" s="3" t="s">
        <v>52</v>
      </c>
      <c r="C264">
        <f>'Bobot M'!J37*('2020'!C37-C$43)^4</f>
        <v>2.4378106120960362E-4</v>
      </c>
    </row>
    <row r="265" spans="1:3" ht="15" x14ac:dyDescent="0.25">
      <c r="A265" s="3" t="s">
        <v>49</v>
      </c>
      <c r="B265" s="3" t="s">
        <v>53</v>
      </c>
      <c r="C265">
        <f>'Bobot M'!J38*('2020'!C38-C$43)^4</f>
        <v>5.4704507121955535E-2</v>
      </c>
    </row>
    <row r="266" spans="1:3" ht="15" x14ac:dyDescent="0.25">
      <c r="A266" s="3" t="s">
        <v>49</v>
      </c>
      <c r="B266" s="3" t="s">
        <v>54</v>
      </c>
      <c r="C266">
        <f>'Bobot M'!J39*('2020'!C39-C$43)^4</f>
        <v>1.8238781097114579E-2</v>
      </c>
    </row>
    <row r="267" spans="1:3" ht="15" x14ac:dyDescent="0.25">
      <c r="A267" s="3" t="s">
        <v>49</v>
      </c>
      <c r="B267" s="3" t="s">
        <v>55</v>
      </c>
      <c r="C267">
        <f>'Bobot M'!J40*('2020'!C40-C$43)^4</f>
        <v>7.6797184795013651E-8</v>
      </c>
    </row>
    <row r="268" spans="1:3" ht="15" x14ac:dyDescent="0.25">
      <c r="A268" s="3" t="s">
        <v>49</v>
      </c>
      <c r="B268" s="3" t="s">
        <v>56</v>
      </c>
      <c r="C268">
        <f>'Bobot M'!J41*('2020'!C41-C$43)^4</f>
        <v>2.5347706296207094E-5</v>
      </c>
    </row>
    <row r="269" spans="1:3" ht="15" x14ac:dyDescent="0.25">
      <c r="A269" s="3" t="s">
        <v>49</v>
      </c>
      <c r="B269" s="3" t="s">
        <v>57</v>
      </c>
      <c r="C269">
        <f>'Bobot M'!J42*('2020'!C42-C$43)^4</f>
        <v>9.351246129777889E-2</v>
      </c>
    </row>
    <row r="270" spans="1:3" ht="15" x14ac:dyDescent="0.25">
      <c r="B270" s="3" t="s">
        <v>74</v>
      </c>
      <c r="C270">
        <f>SUM(C229:C269)</f>
        <v>2447.7983407652428</v>
      </c>
    </row>
    <row r="271" spans="1:3" ht="15" x14ac:dyDescent="0.25">
      <c r="B271" s="3" t="s">
        <v>76</v>
      </c>
      <c r="C271">
        <f>C44^4</f>
        <v>1410.5035396912228</v>
      </c>
    </row>
    <row r="272" spans="1:3" x14ac:dyDescent="0.2">
      <c r="C272">
        <f>C270/C271</f>
        <v>1.7354074427215525</v>
      </c>
    </row>
    <row r="273" spans="2:3" ht="15" x14ac:dyDescent="0.25">
      <c r="B273" s="3" t="s">
        <v>81</v>
      </c>
      <c r="C273">
        <f>C272-3</f>
        <v>-1.2645925572784475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B03D-112A-4B6F-8F07-28467387A70D}">
  <dimension ref="A1:A41"/>
  <sheetViews>
    <sheetView topLeftCell="BA1" workbookViewId="0">
      <selection activeCell="A19" sqref="A19"/>
    </sheetView>
  </sheetViews>
  <sheetFormatPr defaultRowHeight="12.75" x14ac:dyDescent="0.2"/>
  <sheetData>
    <row r="1" spans="1:1" ht="15" x14ac:dyDescent="0.25">
      <c r="A1" s="4">
        <v>63.91</v>
      </c>
    </row>
    <row r="2" spans="1:1" ht="15" x14ac:dyDescent="0.25">
      <c r="A2" s="4">
        <v>65</v>
      </c>
    </row>
    <row r="3" spans="1:1" ht="15" x14ac:dyDescent="0.25">
      <c r="A3" s="4">
        <v>65.36</v>
      </c>
    </row>
    <row r="4" spans="1:1" ht="15" x14ac:dyDescent="0.25">
      <c r="A4" s="4">
        <v>65.67</v>
      </c>
    </row>
    <row r="5" spans="1:1" ht="15" x14ac:dyDescent="0.25">
      <c r="A5" s="4">
        <v>66.12</v>
      </c>
    </row>
    <row r="6" spans="1:1" ht="15" x14ac:dyDescent="0.25">
      <c r="A6" s="4">
        <v>66.7</v>
      </c>
    </row>
    <row r="7" spans="1:1" ht="15" x14ac:dyDescent="0.25">
      <c r="A7" s="4">
        <v>66.88</v>
      </c>
    </row>
    <row r="8" spans="1:1" ht="15" x14ac:dyDescent="0.25">
      <c r="A8" s="4">
        <v>67.290000000000006</v>
      </c>
    </row>
    <row r="9" spans="1:1" ht="15" x14ac:dyDescent="0.25">
      <c r="A9" s="4">
        <v>67.59</v>
      </c>
    </row>
    <row r="10" spans="1:1" ht="15" x14ac:dyDescent="0.25">
      <c r="A10" s="4">
        <v>68.06</v>
      </c>
    </row>
    <row r="11" spans="1:1" ht="15" x14ac:dyDescent="0.25">
      <c r="A11" s="4">
        <v>68.08</v>
      </c>
    </row>
    <row r="12" spans="1:1" ht="15" x14ac:dyDescent="0.25">
      <c r="A12" s="4">
        <v>68.75</v>
      </c>
    </row>
    <row r="13" spans="1:1" ht="15" x14ac:dyDescent="0.25">
      <c r="A13" s="4">
        <v>68.95</v>
      </c>
    </row>
    <row r="14" spans="1:1" ht="15" x14ac:dyDescent="0.25">
      <c r="A14" s="4">
        <v>69.38</v>
      </c>
    </row>
    <row r="15" spans="1:1" ht="15" x14ac:dyDescent="0.25">
      <c r="A15" s="4">
        <v>70.400000000000006</v>
      </c>
    </row>
    <row r="16" spans="1:1" ht="15" x14ac:dyDescent="0.25">
      <c r="A16" s="4">
        <v>70.489999999999995</v>
      </c>
    </row>
    <row r="17" spans="1:1" ht="15" x14ac:dyDescent="0.25">
      <c r="A17" s="4">
        <v>70.66</v>
      </c>
    </row>
    <row r="18" spans="1:1" ht="15" x14ac:dyDescent="0.25">
      <c r="A18" s="4">
        <v>70.819999999999993</v>
      </c>
    </row>
    <row r="19" spans="1:1" ht="15" x14ac:dyDescent="0.25">
      <c r="A19" s="4">
        <v>71.63</v>
      </c>
    </row>
    <row r="20" spans="1:1" ht="15" x14ac:dyDescent="0.25">
      <c r="A20" s="4">
        <v>71.64</v>
      </c>
    </row>
    <row r="21" spans="1:1" ht="15" x14ac:dyDescent="0.25">
      <c r="A21" s="4">
        <v>71.7</v>
      </c>
    </row>
    <row r="22" spans="1:1" ht="15" x14ac:dyDescent="0.25">
      <c r="A22" s="4">
        <v>71.92</v>
      </c>
    </row>
    <row r="23" spans="1:1" ht="15" x14ac:dyDescent="0.25">
      <c r="A23" s="4">
        <v>72.16</v>
      </c>
    </row>
    <row r="24" spans="1:1" ht="15" x14ac:dyDescent="0.25">
      <c r="A24" s="4">
        <v>72.39</v>
      </c>
    </row>
    <row r="25" spans="1:1" ht="15" x14ac:dyDescent="0.25">
      <c r="A25" s="4">
        <v>73.040000000000006</v>
      </c>
    </row>
    <row r="26" spans="1:1" ht="15" x14ac:dyDescent="0.25">
      <c r="A26" s="4">
        <v>73.05</v>
      </c>
    </row>
    <row r="27" spans="1:1" ht="15" x14ac:dyDescent="0.25">
      <c r="A27" s="4">
        <v>74.069999999999993</v>
      </c>
    </row>
    <row r="28" spans="1:1" ht="15" x14ac:dyDescent="0.25">
      <c r="A28" s="4">
        <v>74.209999999999994</v>
      </c>
    </row>
    <row r="29" spans="1:1" ht="15" x14ac:dyDescent="0.25">
      <c r="A29" s="4">
        <v>74.89</v>
      </c>
    </row>
    <row r="30" spans="1:1" ht="15" x14ac:dyDescent="0.25">
      <c r="A30" s="4">
        <v>76.11</v>
      </c>
    </row>
    <row r="31" spans="1:1" ht="15" x14ac:dyDescent="0.25">
      <c r="A31" s="4">
        <v>77.83</v>
      </c>
    </row>
    <row r="32" spans="1:1" ht="15" x14ac:dyDescent="0.25">
      <c r="A32" s="4">
        <v>78.25</v>
      </c>
    </row>
    <row r="33" spans="1:1" ht="15" x14ac:dyDescent="0.25">
      <c r="A33" s="4">
        <v>80.290000000000006</v>
      </c>
    </row>
    <row r="34" spans="1:1" ht="15" x14ac:dyDescent="0.25">
      <c r="A34" s="4">
        <v>80.97</v>
      </c>
    </row>
    <row r="35" spans="1:1" ht="15" x14ac:dyDescent="0.25">
      <c r="A35" s="4">
        <v>81.36</v>
      </c>
    </row>
    <row r="36" spans="1:1" ht="15" x14ac:dyDescent="0.25">
      <c r="A36" s="4">
        <v>81.38</v>
      </c>
    </row>
    <row r="37" spans="1:1" ht="15" x14ac:dyDescent="0.25">
      <c r="A37" s="4">
        <v>81.39</v>
      </c>
    </row>
    <row r="38" spans="1:1" ht="15" x14ac:dyDescent="0.25">
      <c r="A38" s="4">
        <v>81.5</v>
      </c>
    </row>
    <row r="39" spans="1:1" ht="15" x14ac:dyDescent="0.25">
      <c r="A39" s="4">
        <v>81.510000000000005</v>
      </c>
    </row>
    <row r="40" spans="1:1" ht="15" x14ac:dyDescent="0.25">
      <c r="A40" s="4">
        <v>82.66</v>
      </c>
    </row>
    <row r="41" spans="1:1" ht="15" x14ac:dyDescent="0.25">
      <c r="A41" s="4">
        <v>84.72</v>
      </c>
    </row>
  </sheetData>
  <sortState xmlns:xlrd2="http://schemas.microsoft.com/office/spreadsheetml/2017/richdata2" ref="A1:A41">
    <sortCondition ref="A1:A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6"/>
  <sheetViews>
    <sheetView topLeftCell="H1" zoomScale="249" workbookViewId="0">
      <selection activeCell="O1" sqref="O1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67</v>
      </c>
    </row>
    <row r="2" spans="1:15" ht="15.75" customHeight="1" x14ac:dyDescent="0.25">
      <c r="A2" s="3" t="s">
        <v>14</v>
      </c>
      <c r="B2" s="3" t="s">
        <v>15</v>
      </c>
      <c r="C2" s="4">
        <v>72.099999999999994</v>
      </c>
      <c r="D2" s="4">
        <v>93.39</v>
      </c>
      <c r="E2" s="6">
        <v>15.06</v>
      </c>
      <c r="F2" s="6">
        <v>3648.88</v>
      </c>
      <c r="G2" s="6">
        <v>8.81</v>
      </c>
      <c r="H2" s="4">
        <v>66.84</v>
      </c>
      <c r="I2" s="4">
        <v>71.03</v>
      </c>
      <c r="J2" s="4">
        <v>670785</v>
      </c>
      <c r="K2" s="4">
        <v>2.41</v>
      </c>
      <c r="L2" s="7">
        <v>8.58</v>
      </c>
      <c r="M2" s="7">
        <v>65.45</v>
      </c>
      <c r="N2" s="1">
        <v>0.245</v>
      </c>
      <c r="O2" s="10">
        <v>27996</v>
      </c>
    </row>
    <row r="3" spans="1:15" ht="15.75" customHeight="1" x14ac:dyDescent="0.25">
      <c r="A3" s="3" t="s">
        <v>14</v>
      </c>
      <c r="B3" s="3" t="s">
        <v>16</v>
      </c>
      <c r="C3" s="4">
        <v>84.9</v>
      </c>
      <c r="D3" s="4">
        <v>96.28</v>
      </c>
      <c r="E3" s="6">
        <v>3.56</v>
      </c>
      <c r="F3" s="6">
        <v>429278</v>
      </c>
      <c r="G3" s="6">
        <v>11.64</v>
      </c>
      <c r="H3" s="4">
        <v>72.33</v>
      </c>
      <c r="I3" s="4">
        <v>76.12</v>
      </c>
      <c r="J3" s="4">
        <v>792684</v>
      </c>
      <c r="K3" s="4">
        <v>1.63</v>
      </c>
      <c r="L3" s="7">
        <v>7.33</v>
      </c>
      <c r="M3" s="7">
        <v>61.44</v>
      </c>
      <c r="N3" s="1">
        <v>0.38300000000000001</v>
      </c>
      <c r="O3" s="10">
        <v>2232442</v>
      </c>
    </row>
    <row r="4" spans="1:15" ht="15.75" customHeight="1" x14ac:dyDescent="0.25">
      <c r="A4" s="3" t="s">
        <v>14</v>
      </c>
      <c r="B4" s="3" t="s">
        <v>17</v>
      </c>
      <c r="C4" s="4">
        <v>82.97</v>
      </c>
      <c r="D4" s="4">
        <v>95.44</v>
      </c>
      <c r="E4" s="6">
        <v>4.28</v>
      </c>
      <c r="F4" s="6">
        <v>313816.5</v>
      </c>
      <c r="G4" s="6">
        <v>11.67</v>
      </c>
      <c r="H4" s="4">
        <v>72.7</v>
      </c>
      <c r="I4" s="4">
        <v>76.27</v>
      </c>
      <c r="J4" s="4">
        <v>594849</v>
      </c>
      <c r="K4" s="4">
        <v>2.2400000000000002</v>
      </c>
      <c r="L4" s="7">
        <v>8.23</v>
      </c>
      <c r="M4" s="7">
        <v>60.85</v>
      </c>
      <c r="N4" s="1">
        <v>0.374</v>
      </c>
      <c r="O4" s="10">
        <v>3051866</v>
      </c>
    </row>
    <row r="5" spans="1:15" ht="15.75" customHeight="1" x14ac:dyDescent="0.25">
      <c r="A5" s="3" t="s">
        <v>14</v>
      </c>
      <c r="B5" s="3" t="s">
        <v>18</v>
      </c>
      <c r="C5" s="4">
        <v>81.56</v>
      </c>
      <c r="D5" s="4">
        <v>96.11</v>
      </c>
      <c r="E5" s="6">
        <v>4.9400000000000004</v>
      </c>
      <c r="F5" s="6">
        <v>460024.3</v>
      </c>
      <c r="G5" s="6">
        <v>11.39</v>
      </c>
      <c r="H5" s="4">
        <v>72.3</v>
      </c>
      <c r="I5" s="4">
        <v>76</v>
      </c>
      <c r="J5" s="4">
        <v>689379</v>
      </c>
      <c r="K5" s="4">
        <v>3.08</v>
      </c>
      <c r="L5" s="7">
        <v>7.75</v>
      </c>
      <c r="M5" s="7">
        <v>63.17</v>
      </c>
      <c r="N5" s="1">
        <v>0.39700000000000002</v>
      </c>
      <c r="O5" s="10">
        <v>1057465</v>
      </c>
    </row>
    <row r="6" spans="1:15" ht="15.75" customHeight="1" x14ac:dyDescent="0.25">
      <c r="A6" s="3" t="s">
        <v>14</v>
      </c>
      <c r="B6" s="3" t="s">
        <v>19</v>
      </c>
      <c r="C6" s="4">
        <v>81.760000000000005</v>
      </c>
      <c r="D6" s="4">
        <v>95.37</v>
      </c>
      <c r="E6" s="6">
        <v>4.3099999999999996</v>
      </c>
      <c r="F6" s="6">
        <v>327613.09999999998</v>
      </c>
      <c r="G6" s="6">
        <v>10.78</v>
      </c>
      <c r="H6" s="4">
        <v>71.819999999999993</v>
      </c>
      <c r="I6" s="4">
        <v>75.489999999999995</v>
      </c>
      <c r="J6" s="4">
        <v>570330</v>
      </c>
      <c r="K6" s="4">
        <v>2</v>
      </c>
      <c r="L6" s="7">
        <v>9.06</v>
      </c>
      <c r="M6" s="7">
        <v>63.21</v>
      </c>
      <c r="N6" s="1">
        <v>0.36599999999999999</v>
      </c>
      <c r="O6" s="10">
        <v>2446687</v>
      </c>
    </row>
    <row r="7" spans="1:15" ht="15.75" customHeight="1" x14ac:dyDescent="0.25">
      <c r="A7" s="3" t="s">
        <v>14</v>
      </c>
      <c r="B7" s="3" t="s">
        <v>20</v>
      </c>
      <c r="C7" s="4">
        <v>80.510000000000005</v>
      </c>
      <c r="D7" s="4">
        <v>93.6</v>
      </c>
      <c r="E7" s="6">
        <v>7.24</v>
      </c>
      <c r="F7" s="6">
        <v>330883.90000000002</v>
      </c>
      <c r="G7" s="6">
        <v>10.81</v>
      </c>
      <c r="H7" s="4">
        <v>71.44</v>
      </c>
      <c r="I7" s="4">
        <v>75.22</v>
      </c>
      <c r="J7" s="4">
        <v>609310</v>
      </c>
      <c r="K7" s="4">
        <v>2.63</v>
      </c>
      <c r="L7" s="7">
        <v>9.84</v>
      </c>
      <c r="M7" s="7">
        <v>65.790000000000006</v>
      </c>
      <c r="N7" s="1">
        <v>0.51500000000000001</v>
      </c>
      <c r="O7" s="10">
        <v>1788981</v>
      </c>
    </row>
    <row r="8" spans="1:15" ht="15.75" customHeight="1" x14ac:dyDescent="0.25">
      <c r="A8" s="3" t="s">
        <v>21</v>
      </c>
      <c r="B8" s="3" t="s">
        <v>22</v>
      </c>
      <c r="C8" s="4">
        <v>70.599999999999994</v>
      </c>
      <c r="D8" s="4">
        <v>89.4</v>
      </c>
      <c r="E8" s="6">
        <v>8.1300000000000008</v>
      </c>
      <c r="F8" s="6">
        <v>159589.6</v>
      </c>
      <c r="G8" s="6">
        <v>8.31</v>
      </c>
      <c r="H8" s="4">
        <v>69.52</v>
      </c>
      <c r="I8" s="4">
        <v>73.25</v>
      </c>
      <c r="J8" s="4">
        <v>418483</v>
      </c>
      <c r="K8" s="4">
        <v>4.7300000000000004</v>
      </c>
      <c r="L8" s="7">
        <v>12.22</v>
      </c>
      <c r="M8" s="7">
        <v>62.55</v>
      </c>
      <c r="N8" s="1">
        <v>0.39600000000000002</v>
      </c>
      <c r="O8" s="10">
        <v>5484150</v>
      </c>
    </row>
    <row r="9" spans="1:15" ht="15.75" customHeight="1" x14ac:dyDescent="0.25">
      <c r="A9" s="3" t="s">
        <v>21</v>
      </c>
      <c r="B9" s="3" t="s">
        <v>23</v>
      </c>
      <c r="C9" s="4">
        <v>67.069999999999993</v>
      </c>
      <c r="D9" s="4">
        <v>87.44</v>
      </c>
      <c r="E9" s="6">
        <v>7.7</v>
      </c>
      <c r="F9" s="6">
        <v>47935.63</v>
      </c>
      <c r="G9" s="6">
        <v>7.1</v>
      </c>
      <c r="H9" s="4">
        <v>69.27</v>
      </c>
      <c r="I9" s="4">
        <v>73.13</v>
      </c>
      <c r="J9" s="4">
        <v>342094</v>
      </c>
      <c r="K9" s="4">
        <v>4.8099999999999996</v>
      </c>
      <c r="L9" s="7">
        <v>9.51</v>
      </c>
      <c r="M9" s="7">
        <v>64.930000000000007</v>
      </c>
      <c r="N9" s="1">
        <v>0.34300000000000003</v>
      </c>
      <c r="O9" s="10">
        <v>2747450</v>
      </c>
    </row>
    <row r="10" spans="1:15" ht="15.75" customHeight="1" x14ac:dyDescent="0.25">
      <c r="A10" s="3" t="s">
        <v>21</v>
      </c>
      <c r="B10" s="3" t="s">
        <v>24</v>
      </c>
      <c r="C10" s="4">
        <v>65.56</v>
      </c>
      <c r="D10" s="4">
        <v>84.3</v>
      </c>
      <c r="E10" s="6">
        <v>11.18</v>
      </c>
      <c r="F10" s="6">
        <v>32897.53</v>
      </c>
      <c r="G10" s="6">
        <v>7.19</v>
      </c>
      <c r="H10" s="4">
        <v>68.45</v>
      </c>
      <c r="I10" s="4">
        <v>72.23</v>
      </c>
      <c r="J10" s="4">
        <v>387631</v>
      </c>
      <c r="K10" s="4">
        <v>6.2</v>
      </c>
      <c r="L10" s="7">
        <v>9.32</v>
      </c>
      <c r="M10" s="7">
        <v>67.98</v>
      </c>
      <c r="N10" s="1">
        <v>0.372</v>
      </c>
      <c r="O10" s="10">
        <v>2500640</v>
      </c>
    </row>
    <row r="11" spans="1:15" ht="15.75" customHeight="1" x14ac:dyDescent="0.25">
      <c r="A11" s="3" t="s">
        <v>21</v>
      </c>
      <c r="B11" s="3" t="s">
        <v>25</v>
      </c>
      <c r="C11" s="4">
        <v>72.73</v>
      </c>
      <c r="D11" s="4">
        <v>93.85</v>
      </c>
      <c r="E11" s="6">
        <v>7.15</v>
      </c>
      <c r="F11" s="6">
        <v>83949.37</v>
      </c>
      <c r="G11" s="6">
        <v>9.07</v>
      </c>
      <c r="H11" s="4">
        <v>71.94</v>
      </c>
      <c r="I11" s="4">
        <v>75.52</v>
      </c>
      <c r="J11" s="4">
        <v>378819</v>
      </c>
      <c r="K11" s="4">
        <v>5.53</v>
      </c>
      <c r="L11" s="7">
        <v>8.32</v>
      </c>
      <c r="M11" s="7">
        <v>65.12</v>
      </c>
      <c r="N11" s="1">
        <v>0.38600000000000001</v>
      </c>
      <c r="O11" s="10">
        <v>3652400</v>
      </c>
    </row>
    <row r="12" spans="1:15" ht="15.75" customHeight="1" x14ac:dyDescent="0.25">
      <c r="A12" s="3" t="s">
        <v>21</v>
      </c>
      <c r="B12" s="3" t="s">
        <v>26</v>
      </c>
      <c r="C12" s="4">
        <v>66.45</v>
      </c>
      <c r="D12" s="4">
        <v>82.13</v>
      </c>
      <c r="E12" s="6">
        <v>10.65</v>
      </c>
      <c r="F12" s="6">
        <v>39981.19</v>
      </c>
      <c r="G12" s="6">
        <v>7.53</v>
      </c>
      <c r="H12" s="4">
        <v>69.739999999999995</v>
      </c>
      <c r="I12" s="4">
        <v>73.48</v>
      </c>
      <c r="J12" s="4">
        <v>320050</v>
      </c>
      <c r="K12" s="4">
        <v>5</v>
      </c>
      <c r="L12" s="7">
        <v>8.68</v>
      </c>
      <c r="M12" s="7">
        <v>62.76</v>
      </c>
      <c r="N12" s="1">
        <v>0.32200000000000001</v>
      </c>
      <c r="O12" s="10">
        <v>2613530</v>
      </c>
    </row>
    <row r="13" spans="1:15" ht="15.75" customHeight="1" x14ac:dyDescent="0.25">
      <c r="A13" s="3" t="s">
        <v>21</v>
      </c>
      <c r="B13" s="3" t="s">
        <v>27</v>
      </c>
      <c r="C13" s="4">
        <v>65.900000000000006</v>
      </c>
      <c r="D13" s="4">
        <v>86.36</v>
      </c>
      <c r="E13" s="6">
        <v>11.15</v>
      </c>
      <c r="F13" s="6">
        <v>25179.48</v>
      </c>
      <c r="G13" s="6">
        <v>7.48</v>
      </c>
      <c r="H13" s="4">
        <v>67.78</v>
      </c>
      <c r="I13" s="4">
        <v>71.59</v>
      </c>
      <c r="J13" s="4">
        <v>333909</v>
      </c>
      <c r="K13" s="4">
        <v>7.12</v>
      </c>
      <c r="L13" s="7">
        <v>6.16</v>
      </c>
      <c r="M13" s="7">
        <v>68.180000000000007</v>
      </c>
      <c r="N13" s="1">
        <v>0.378</v>
      </c>
      <c r="O13" s="10">
        <v>1876890</v>
      </c>
    </row>
    <row r="14" spans="1:15" ht="15.75" customHeight="1" x14ac:dyDescent="0.25">
      <c r="A14" s="3" t="s">
        <v>21</v>
      </c>
      <c r="B14" s="3" t="s">
        <v>28</v>
      </c>
      <c r="C14" s="4">
        <v>70.930000000000007</v>
      </c>
      <c r="D14" s="4">
        <v>86.55</v>
      </c>
      <c r="E14" s="6">
        <v>7.97</v>
      </c>
      <c r="F14" s="6">
        <v>22774.93</v>
      </c>
      <c r="G14" s="5">
        <v>7.9</v>
      </c>
      <c r="H14" s="4">
        <v>70.19</v>
      </c>
      <c r="I14" s="4">
        <v>73.91</v>
      </c>
      <c r="J14" s="4">
        <v>389676</v>
      </c>
      <c r="K14" s="4">
        <v>5.87</v>
      </c>
      <c r="L14" s="7">
        <v>5.0599999999999996</v>
      </c>
      <c r="M14" s="7">
        <v>69.83</v>
      </c>
      <c r="N14" s="1">
        <v>0.34200000000000003</v>
      </c>
      <c r="O14" s="10">
        <v>1234830</v>
      </c>
    </row>
    <row r="15" spans="1:15" ht="15.75" customHeight="1" x14ac:dyDescent="0.25">
      <c r="A15" s="3" t="s">
        <v>21</v>
      </c>
      <c r="B15" s="3" t="s">
        <v>29</v>
      </c>
      <c r="C15" s="4">
        <v>69.709999999999994</v>
      </c>
      <c r="D15" s="4">
        <v>86.97</v>
      </c>
      <c r="E15" s="6">
        <v>13.1</v>
      </c>
      <c r="F15" s="6">
        <v>17483.560000000001</v>
      </c>
      <c r="G15" s="6">
        <v>7.8</v>
      </c>
      <c r="H15" s="4">
        <v>71.98</v>
      </c>
      <c r="I15" s="4">
        <v>75.61</v>
      </c>
      <c r="J15" s="4">
        <v>358069</v>
      </c>
      <c r="K15" s="4">
        <v>3.73</v>
      </c>
      <c r="L15" s="7">
        <v>11.68</v>
      </c>
      <c r="M15" s="7">
        <v>63.82</v>
      </c>
      <c r="N15" s="1">
        <v>0.34899999999999998</v>
      </c>
      <c r="O15" s="10">
        <v>1175950</v>
      </c>
    </row>
    <row r="16" spans="1:15" ht="15.75" customHeight="1" x14ac:dyDescent="0.25">
      <c r="A16" s="3" t="s">
        <v>21</v>
      </c>
      <c r="B16" s="3" t="s">
        <v>30</v>
      </c>
      <c r="C16" s="4">
        <v>69.12</v>
      </c>
      <c r="D16" s="4">
        <v>83.49</v>
      </c>
      <c r="E16" s="6">
        <v>12.3</v>
      </c>
      <c r="F16" s="6">
        <v>34127.519999999997</v>
      </c>
      <c r="G16" s="6">
        <v>7.1</v>
      </c>
      <c r="H16" s="4">
        <v>70.34</v>
      </c>
      <c r="I16" s="4">
        <v>74.069999999999993</v>
      </c>
      <c r="J16" s="4">
        <v>404635</v>
      </c>
      <c r="K16" s="4">
        <v>6.19</v>
      </c>
      <c r="L16" s="7">
        <v>10.38</v>
      </c>
      <c r="M16" s="7">
        <v>64.489999999999995</v>
      </c>
      <c r="N16" s="1">
        <v>0.33900000000000002</v>
      </c>
      <c r="O16" s="10">
        <v>2301330</v>
      </c>
    </row>
    <row r="17" spans="1:15" ht="15.75" customHeight="1" x14ac:dyDescent="0.25">
      <c r="A17" s="3" t="s">
        <v>21</v>
      </c>
      <c r="B17" s="3" t="s">
        <v>31</v>
      </c>
      <c r="C17" s="4">
        <v>67.81</v>
      </c>
      <c r="D17" s="4">
        <v>86.24</v>
      </c>
      <c r="E17" s="6">
        <v>12.33</v>
      </c>
      <c r="F17" s="6">
        <v>22788.75</v>
      </c>
      <c r="G17" s="6">
        <v>7.31</v>
      </c>
      <c r="H17" s="4">
        <v>68.58</v>
      </c>
      <c r="I17" s="4">
        <v>72.37</v>
      </c>
      <c r="J17" s="4">
        <v>466813</v>
      </c>
      <c r="K17" s="4">
        <v>4.9400000000000004</v>
      </c>
      <c r="L17" s="7">
        <v>5.71</v>
      </c>
      <c r="M17" s="7">
        <v>67.63</v>
      </c>
      <c r="N17" s="1">
        <v>0.35399999999999998</v>
      </c>
      <c r="O17" s="10">
        <v>1315010</v>
      </c>
    </row>
    <row r="18" spans="1:15" ht="15.75" customHeight="1" x14ac:dyDescent="0.25">
      <c r="A18" s="3" t="s">
        <v>21</v>
      </c>
      <c r="B18" s="3" t="s">
        <v>32</v>
      </c>
      <c r="C18" s="4">
        <v>71.8</v>
      </c>
      <c r="D18" s="4">
        <v>95.18</v>
      </c>
      <c r="E18" s="6">
        <v>10.71</v>
      </c>
      <c r="F18" s="6">
        <v>24414.66</v>
      </c>
      <c r="G18" s="6">
        <v>8.52</v>
      </c>
      <c r="H18" s="4">
        <v>70.77</v>
      </c>
      <c r="I18" s="4">
        <v>74.489999999999995</v>
      </c>
      <c r="J18" s="4">
        <v>360054</v>
      </c>
      <c r="K18" s="4">
        <v>5.09</v>
      </c>
      <c r="L18" s="7">
        <v>9.18</v>
      </c>
      <c r="M18" s="7">
        <v>68.510000000000005</v>
      </c>
      <c r="N18" s="1">
        <v>0.35899999999999999</v>
      </c>
      <c r="O18" s="10">
        <v>1159260</v>
      </c>
    </row>
    <row r="19" spans="1:15" ht="15.75" customHeight="1" x14ac:dyDescent="0.25">
      <c r="A19" s="3" t="s">
        <v>21</v>
      </c>
      <c r="B19" s="3" t="s">
        <v>33</v>
      </c>
      <c r="C19" s="4">
        <v>67.64</v>
      </c>
      <c r="D19" s="4">
        <v>87.92</v>
      </c>
      <c r="E19" s="6">
        <v>13.04</v>
      </c>
      <c r="F19" s="6">
        <v>59544.87</v>
      </c>
      <c r="G19" s="6">
        <v>6.52</v>
      </c>
      <c r="H19" s="4">
        <v>70.010000000000005</v>
      </c>
      <c r="I19" s="4">
        <v>73.72</v>
      </c>
      <c r="J19" s="4">
        <v>481754</v>
      </c>
      <c r="K19" s="4">
        <v>3.97</v>
      </c>
      <c r="L19" s="7">
        <v>8.3000000000000007</v>
      </c>
      <c r="M19" s="7">
        <v>69.86</v>
      </c>
      <c r="N19" s="1">
        <v>0.32100000000000001</v>
      </c>
      <c r="O19" s="10">
        <v>1851730</v>
      </c>
    </row>
    <row r="20" spans="1:15" ht="15.75" customHeight="1" x14ac:dyDescent="0.25">
      <c r="A20" s="3" t="s">
        <v>21</v>
      </c>
      <c r="B20" s="3" t="s">
        <v>34</v>
      </c>
      <c r="C20" s="4">
        <v>69.13</v>
      </c>
      <c r="D20" s="4">
        <v>90.51</v>
      </c>
      <c r="E20" s="6">
        <v>10.029999999999999</v>
      </c>
      <c r="F20" s="6">
        <v>28960.89</v>
      </c>
      <c r="G20" s="6">
        <v>7.11</v>
      </c>
      <c r="H20" s="4">
        <v>70.78</v>
      </c>
      <c r="I20" s="4">
        <v>74.44</v>
      </c>
      <c r="J20" s="4">
        <v>360691</v>
      </c>
      <c r="K20" s="4">
        <v>4.16</v>
      </c>
      <c r="L20" s="7">
        <v>9.77</v>
      </c>
      <c r="M20" s="7">
        <v>67.78</v>
      </c>
      <c r="N20" s="1">
        <v>0.32900000000000001</v>
      </c>
      <c r="O20" s="10">
        <v>1620700</v>
      </c>
    </row>
    <row r="21" spans="1:15" ht="15.75" customHeight="1" x14ac:dyDescent="0.25">
      <c r="A21" s="3" t="s">
        <v>21</v>
      </c>
      <c r="B21" s="3" t="s">
        <v>35</v>
      </c>
      <c r="C21" s="4">
        <v>70.98</v>
      </c>
      <c r="D21" s="4">
        <v>86.7</v>
      </c>
      <c r="E21" s="6">
        <v>8.83</v>
      </c>
      <c r="F21" s="6">
        <v>46840.15</v>
      </c>
      <c r="G21" s="6">
        <v>8.1</v>
      </c>
      <c r="H21" s="4">
        <v>69.31</v>
      </c>
      <c r="I21" s="4">
        <v>73.08</v>
      </c>
      <c r="J21" s="4">
        <v>387754</v>
      </c>
      <c r="K21" s="4">
        <v>3.45</v>
      </c>
      <c r="L21" s="7">
        <v>10.7</v>
      </c>
      <c r="M21" s="7">
        <v>61.13</v>
      </c>
      <c r="N21" s="1">
        <v>0.38800000000000001</v>
      </c>
      <c r="O21" s="10">
        <v>1008930</v>
      </c>
    </row>
    <row r="22" spans="1:15" ht="15.75" customHeight="1" x14ac:dyDescent="0.25">
      <c r="A22" s="3" t="s">
        <v>21</v>
      </c>
      <c r="B22" s="3" t="s">
        <v>36</v>
      </c>
      <c r="C22" s="4">
        <v>70.94</v>
      </c>
      <c r="D22" s="4">
        <v>90.29</v>
      </c>
      <c r="E22" s="6">
        <v>8.9499999999999993</v>
      </c>
      <c r="F22" s="6">
        <v>166941.5</v>
      </c>
      <c r="G22" s="6">
        <v>7.78</v>
      </c>
      <c r="H22" s="4">
        <v>70.5</v>
      </c>
      <c r="I22" s="4">
        <v>74.209999999999994</v>
      </c>
      <c r="J22" s="4">
        <v>494201</v>
      </c>
      <c r="K22" s="4">
        <v>4.8</v>
      </c>
      <c r="L22" s="7">
        <v>11.83</v>
      </c>
      <c r="M22" s="7">
        <v>64.19</v>
      </c>
      <c r="N22" s="1">
        <v>0.374</v>
      </c>
      <c r="O22" s="10">
        <v>2465570</v>
      </c>
    </row>
    <row r="23" spans="1:15" ht="15.75" customHeight="1" x14ac:dyDescent="0.25">
      <c r="A23" s="3" t="s">
        <v>21</v>
      </c>
      <c r="B23" s="3" t="s">
        <v>37</v>
      </c>
      <c r="C23" s="4">
        <v>74.45</v>
      </c>
      <c r="D23" s="4">
        <v>88.88</v>
      </c>
      <c r="E23" s="6">
        <v>5.21</v>
      </c>
      <c r="F23" s="6">
        <v>251778.5</v>
      </c>
      <c r="G23" s="6">
        <v>9.3000000000000007</v>
      </c>
      <c r="H23" s="4">
        <v>71.989999999999995</v>
      </c>
      <c r="I23" s="4">
        <v>75.63</v>
      </c>
      <c r="J23" s="4">
        <v>549875</v>
      </c>
      <c r="K23" s="4">
        <v>2.38</v>
      </c>
      <c r="L23" s="7">
        <v>10.09</v>
      </c>
      <c r="M23" s="7">
        <v>65.87</v>
      </c>
      <c r="N23" s="1">
        <v>0.34</v>
      </c>
      <c r="O23" s="10">
        <v>3148740</v>
      </c>
    </row>
    <row r="24" spans="1:15" ht="15.75" customHeight="1" x14ac:dyDescent="0.25">
      <c r="A24" s="3" t="s">
        <v>21</v>
      </c>
      <c r="B24" s="3" t="s">
        <v>38</v>
      </c>
      <c r="C24" s="4">
        <v>68.290000000000006</v>
      </c>
      <c r="D24" s="4">
        <v>79.069999999999993</v>
      </c>
      <c r="E24" s="6">
        <v>11.3</v>
      </c>
      <c r="F24" s="6">
        <v>31701.79</v>
      </c>
      <c r="G24" s="6">
        <v>8.1999999999999993</v>
      </c>
      <c r="H24" s="4">
        <v>70.7</v>
      </c>
      <c r="I24" s="4">
        <v>74.39</v>
      </c>
      <c r="J24" s="4">
        <v>374470</v>
      </c>
      <c r="K24" s="4">
        <v>6.04</v>
      </c>
      <c r="L24" s="7">
        <v>11.65</v>
      </c>
      <c r="M24" s="7">
        <v>60.75</v>
      </c>
      <c r="N24" s="1">
        <v>0.35599999999999998</v>
      </c>
      <c r="O24" s="10">
        <v>1808420</v>
      </c>
    </row>
    <row r="25" spans="1:15" ht="15.75" customHeight="1" x14ac:dyDescent="0.25">
      <c r="A25" s="3" t="s">
        <v>21</v>
      </c>
      <c r="B25" s="3" t="s">
        <v>39</v>
      </c>
      <c r="C25" s="4">
        <v>68.28</v>
      </c>
      <c r="D25" s="4">
        <v>89.92</v>
      </c>
      <c r="E25" s="6">
        <v>9.65</v>
      </c>
      <c r="F25" s="6">
        <v>8022.78</v>
      </c>
      <c r="G25" s="6">
        <v>7.85</v>
      </c>
      <c r="H25" s="4">
        <v>69.75</v>
      </c>
      <c r="I25" s="4">
        <v>73.48</v>
      </c>
      <c r="J25" s="4">
        <v>394101</v>
      </c>
      <c r="K25" s="4">
        <v>4.32</v>
      </c>
      <c r="L25" s="7">
        <v>3.25</v>
      </c>
      <c r="M25" s="7">
        <v>74.75</v>
      </c>
      <c r="N25" s="1">
        <v>0.32</v>
      </c>
      <c r="O25" s="10">
        <v>425590</v>
      </c>
    </row>
    <row r="26" spans="1:15" ht="15.75" customHeight="1" x14ac:dyDescent="0.25">
      <c r="A26" s="3" t="s">
        <v>21</v>
      </c>
      <c r="B26" s="3" t="s">
        <v>40</v>
      </c>
      <c r="C26" s="4">
        <v>76.59</v>
      </c>
      <c r="D26" s="4">
        <v>90.87</v>
      </c>
      <c r="E26" s="6">
        <v>7.24</v>
      </c>
      <c r="F26" s="6">
        <v>33372.480000000003</v>
      </c>
      <c r="G26" s="6">
        <v>10.53</v>
      </c>
      <c r="H26" s="4">
        <v>72.02</v>
      </c>
      <c r="I26" s="4">
        <v>75.650000000000006</v>
      </c>
      <c r="J26" s="4">
        <v>571425</v>
      </c>
      <c r="K26" s="4">
        <v>3.08</v>
      </c>
      <c r="L26" s="7">
        <v>11.79</v>
      </c>
      <c r="M26" s="7">
        <v>61.77</v>
      </c>
      <c r="N26" s="1">
        <v>0.441</v>
      </c>
      <c r="O26" s="10">
        <v>1050920</v>
      </c>
    </row>
    <row r="27" spans="1:15" x14ac:dyDescent="0.25">
      <c r="A27" s="3" t="s">
        <v>21</v>
      </c>
      <c r="B27" s="3" t="s">
        <v>41</v>
      </c>
      <c r="C27" s="4">
        <v>74.599999999999994</v>
      </c>
      <c r="D27" s="4">
        <v>91.58</v>
      </c>
      <c r="E27" s="6">
        <v>8.25</v>
      </c>
      <c r="F27" s="6">
        <v>2538923</v>
      </c>
      <c r="G27" s="6">
        <v>9.81</v>
      </c>
      <c r="H27" s="4">
        <v>70.75</v>
      </c>
      <c r="I27" s="4">
        <v>74.44</v>
      </c>
      <c r="J27" s="4">
        <v>567734</v>
      </c>
      <c r="K27" s="4">
        <v>4.9000000000000004</v>
      </c>
      <c r="L27" s="7">
        <v>10.78</v>
      </c>
      <c r="M27" s="7">
        <v>56.86</v>
      </c>
      <c r="N27" s="1">
        <v>0.436</v>
      </c>
      <c r="O27" s="10">
        <v>350150</v>
      </c>
    </row>
    <row r="28" spans="1:15" x14ac:dyDescent="0.25">
      <c r="A28" s="3" t="s">
        <v>21</v>
      </c>
      <c r="B28" s="3" t="s">
        <v>42</v>
      </c>
      <c r="C28" s="4">
        <v>81.96</v>
      </c>
      <c r="D28" s="4">
        <v>94.72</v>
      </c>
      <c r="E28" s="6">
        <v>4.37</v>
      </c>
      <c r="F28" s="6">
        <v>200414</v>
      </c>
      <c r="G28" s="6">
        <v>10.99</v>
      </c>
      <c r="H28" s="4">
        <v>72.709999999999994</v>
      </c>
      <c r="I28" s="4">
        <v>76.16</v>
      </c>
      <c r="J28" s="4">
        <v>515396</v>
      </c>
      <c r="K28" s="4">
        <v>2.92</v>
      </c>
      <c r="L28" s="7">
        <v>11.46</v>
      </c>
      <c r="M28" s="7">
        <v>65.31</v>
      </c>
      <c r="N28" s="1">
        <v>0.42699999999999999</v>
      </c>
      <c r="O28" s="10">
        <v>2461410</v>
      </c>
    </row>
    <row r="29" spans="1:15" x14ac:dyDescent="0.25">
      <c r="A29" s="3" t="s">
        <v>21</v>
      </c>
      <c r="B29" s="3" t="s">
        <v>43</v>
      </c>
      <c r="C29" s="4">
        <v>75.25</v>
      </c>
      <c r="D29" s="4">
        <v>94.46</v>
      </c>
      <c r="E29" s="6">
        <v>10.029999999999999</v>
      </c>
      <c r="F29" s="6">
        <v>17155.75</v>
      </c>
      <c r="G29" s="6">
        <v>10.119999999999999</v>
      </c>
      <c r="H29" s="4">
        <v>70.61</v>
      </c>
      <c r="I29" s="4">
        <v>74.31</v>
      </c>
      <c r="J29" s="4">
        <v>467248</v>
      </c>
      <c r="K29" s="4">
        <v>5.71</v>
      </c>
      <c r="L29" s="7">
        <v>10.53</v>
      </c>
      <c r="M29" s="7">
        <v>62.87</v>
      </c>
      <c r="N29" s="1">
        <v>0.48899999999999999</v>
      </c>
      <c r="O29" s="10">
        <v>335810</v>
      </c>
    </row>
    <row r="30" spans="1:15" x14ac:dyDescent="0.25">
      <c r="A30" s="3" t="s">
        <v>21</v>
      </c>
      <c r="B30" s="3" t="s">
        <v>44</v>
      </c>
      <c r="C30" s="4">
        <v>81.95</v>
      </c>
      <c r="D30" s="4">
        <v>93.09</v>
      </c>
      <c r="E30" s="6">
        <v>4.74</v>
      </c>
      <c r="F30" s="6">
        <v>69796.94</v>
      </c>
      <c r="G30" s="6">
        <v>11.31</v>
      </c>
      <c r="H30" s="4">
        <v>73.48</v>
      </c>
      <c r="I30" s="4">
        <v>76.89</v>
      </c>
      <c r="J30" s="4">
        <v>692885</v>
      </c>
      <c r="K30" s="4">
        <v>1.79</v>
      </c>
      <c r="L30" s="7">
        <v>10.88</v>
      </c>
      <c r="M30" s="7">
        <v>64.760000000000005</v>
      </c>
      <c r="N30" s="1">
        <v>0.40100000000000002</v>
      </c>
      <c r="O30" s="10">
        <v>2568020</v>
      </c>
    </row>
    <row r="31" spans="1:15" x14ac:dyDescent="0.25">
      <c r="A31" s="3" t="s">
        <v>21</v>
      </c>
      <c r="B31" s="3" t="s">
        <v>45</v>
      </c>
      <c r="C31" s="4">
        <v>81.37</v>
      </c>
      <c r="D31" s="4">
        <v>92.96</v>
      </c>
      <c r="E31" s="6">
        <v>2.58</v>
      </c>
      <c r="F31" s="6">
        <v>49947.24</v>
      </c>
      <c r="G31" s="6">
        <v>11.46</v>
      </c>
      <c r="H31" s="4">
        <v>72.87</v>
      </c>
      <c r="I31" s="4">
        <v>76.599999999999994</v>
      </c>
      <c r="J31" s="4">
        <v>705084</v>
      </c>
      <c r="K31" s="4">
        <v>1.55</v>
      </c>
      <c r="L31" s="7">
        <v>9.76</v>
      </c>
      <c r="M31" s="7">
        <v>62.62</v>
      </c>
      <c r="N31" s="1">
        <v>0.36699999999999999</v>
      </c>
      <c r="O31" s="10">
        <v>2081130</v>
      </c>
    </row>
    <row r="32" spans="1:15" x14ac:dyDescent="0.25">
      <c r="A32" s="3" t="s">
        <v>21</v>
      </c>
      <c r="B32" s="3" t="s">
        <v>46</v>
      </c>
      <c r="C32" s="4">
        <v>78.06</v>
      </c>
      <c r="D32" s="4">
        <v>91.95</v>
      </c>
      <c r="E32" s="6">
        <v>5.35</v>
      </c>
      <c r="F32" s="6">
        <v>23275.78</v>
      </c>
      <c r="G32" s="6">
        <v>11.08</v>
      </c>
      <c r="H32" s="4">
        <v>72.45</v>
      </c>
      <c r="I32" s="4">
        <v>75.959999999999994</v>
      </c>
      <c r="J32" s="4">
        <v>522281</v>
      </c>
      <c r="K32" s="4">
        <v>3.23</v>
      </c>
      <c r="L32" s="7">
        <v>13.07</v>
      </c>
      <c r="M32" s="7">
        <v>61.79</v>
      </c>
      <c r="N32" s="1">
        <v>0.41499999999999998</v>
      </c>
      <c r="O32" s="10">
        <v>574450</v>
      </c>
    </row>
    <row r="33" spans="1:15" x14ac:dyDescent="0.25">
      <c r="A33" s="3" t="s">
        <v>21</v>
      </c>
      <c r="B33" s="3" t="s">
        <v>47</v>
      </c>
      <c r="C33" s="4">
        <v>73.31</v>
      </c>
      <c r="D33" s="4">
        <v>91.74</v>
      </c>
      <c r="E33" s="6">
        <v>13.13</v>
      </c>
      <c r="F33" s="6">
        <v>15980.75</v>
      </c>
      <c r="G33" s="6">
        <v>9.52</v>
      </c>
      <c r="H33" s="4">
        <v>70.52</v>
      </c>
      <c r="I33" s="4">
        <v>74.209999999999994</v>
      </c>
      <c r="J33" s="4">
        <v>480341</v>
      </c>
      <c r="K33" s="4">
        <v>5.35</v>
      </c>
      <c r="L33" s="7">
        <v>7.66</v>
      </c>
      <c r="M33" s="7">
        <v>65.75</v>
      </c>
      <c r="N33" s="1">
        <v>0.41399999999999998</v>
      </c>
      <c r="O33" s="10">
        <v>723100</v>
      </c>
    </row>
    <row r="34" spans="1:15" x14ac:dyDescent="0.25">
      <c r="A34" s="3" t="s">
        <v>21</v>
      </c>
      <c r="B34" s="3" t="s">
        <v>48</v>
      </c>
      <c r="C34" s="4">
        <v>71.92</v>
      </c>
      <c r="D34" s="4">
        <v>87.01</v>
      </c>
      <c r="E34" s="6">
        <v>7.11</v>
      </c>
      <c r="F34" s="6">
        <v>3365.25</v>
      </c>
      <c r="G34" s="6">
        <v>8.77</v>
      </c>
      <c r="H34" s="4">
        <v>69.31</v>
      </c>
      <c r="I34" s="4">
        <v>73.08</v>
      </c>
      <c r="J34" s="4">
        <v>357210</v>
      </c>
      <c r="K34" s="4">
        <v>5.93</v>
      </c>
      <c r="L34" s="7">
        <v>6.09</v>
      </c>
      <c r="M34" s="7">
        <v>64.069999999999993</v>
      </c>
      <c r="N34" s="1">
        <v>0.34100000000000003</v>
      </c>
      <c r="O34" s="10">
        <v>202720</v>
      </c>
    </row>
    <row r="35" spans="1:15" x14ac:dyDescent="0.25">
      <c r="A35" s="3" t="s">
        <v>49</v>
      </c>
      <c r="B35" s="3" t="s">
        <v>50</v>
      </c>
      <c r="C35" s="4">
        <v>65.17</v>
      </c>
      <c r="D35" s="4">
        <v>86.83</v>
      </c>
      <c r="E35" s="6">
        <v>10.72</v>
      </c>
      <c r="F35" s="6">
        <v>20116.900000000001</v>
      </c>
      <c r="G35" s="6">
        <v>7.11</v>
      </c>
      <c r="H35" s="4">
        <v>62.82</v>
      </c>
      <c r="I35" s="4">
        <v>66.680000000000007</v>
      </c>
      <c r="J35" s="4">
        <v>390754</v>
      </c>
      <c r="K35" s="4">
        <v>4.37</v>
      </c>
      <c r="L35" s="7">
        <v>7.7</v>
      </c>
      <c r="M35" s="7">
        <v>62.32</v>
      </c>
      <c r="N35" s="1">
        <v>0.26600000000000001</v>
      </c>
      <c r="O35" s="10">
        <v>1284.6400000000001</v>
      </c>
    </row>
    <row r="36" spans="1:15" x14ac:dyDescent="0.25">
      <c r="A36" s="3" t="s">
        <v>49</v>
      </c>
      <c r="B36" s="3" t="s">
        <v>51</v>
      </c>
      <c r="C36" s="4">
        <v>64.03</v>
      </c>
      <c r="D36" s="4">
        <v>79.87</v>
      </c>
      <c r="E36" s="6">
        <v>10.29</v>
      </c>
      <c r="F36" s="6">
        <v>21278.48</v>
      </c>
      <c r="G36" s="6">
        <v>6.41</v>
      </c>
      <c r="H36" s="4">
        <v>65.33</v>
      </c>
      <c r="I36" s="4">
        <v>69.239999999999995</v>
      </c>
      <c r="J36" s="4">
        <v>358479</v>
      </c>
      <c r="K36" s="4">
        <v>3.87</v>
      </c>
      <c r="L36" s="7">
        <v>7.86</v>
      </c>
      <c r="M36" s="7">
        <v>66.75</v>
      </c>
      <c r="N36" s="1">
        <v>0.33200000000000002</v>
      </c>
      <c r="O36" s="10">
        <v>1400.63</v>
      </c>
    </row>
    <row r="37" spans="1:15" x14ac:dyDescent="0.25">
      <c r="A37" s="3" t="s">
        <v>49</v>
      </c>
      <c r="B37" s="3" t="s">
        <v>52</v>
      </c>
      <c r="C37" s="4">
        <v>72.290000000000006</v>
      </c>
      <c r="D37" s="4">
        <v>91.08</v>
      </c>
      <c r="E37" s="6">
        <v>7.12</v>
      </c>
      <c r="F37" s="6">
        <v>97869.38</v>
      </c>
      <c r="G37" s="6">
        <v>8.61</v>
      </c>
      <c r="H37" s="4">
        <v>67.930000000000007</v>
      </c>
      <c r="I37" s="4">
        <v>71.84</v>
      </c>
      <c r="J37" s="4">
        <v>545065</v>
      </c>
      <c r="K37" s="4">
        <v>2.65</v>
      </c>
      <c r="L37" s="7">
        <v>9.06</v>
      </c>
      <c r="M37" s="7">
        <v>63.94</v>
      </c>
      <c r="N37" s="1">
        <v>0.29399999999999998</v>
      </c>
      <c r="O37" s="10">
        <v>3279.71</v>
      </c>
    </row>
    <row r="38" spans="1:15" x14ac:dyDescent="0.25">
      <c r="A38" s="3" t="s">
        <v>49</v>
      </c>
      <c r="B38" s="3" t="s">
        <v>53</v>
      </c>
      <c r="C38" s="4">
        <v>66.819999999999993</v>
      </c>
      <c r="D38" s="4">
        <v>91.98</v>
      </c>
      <c r="E38" s="6">
        <v>5.49</v>
      </c>
      <c r="F38" s="6">
        <v>54844.65</v>
      </c>
      <c r="G38" s="6">
        <v>7.51</v>
      </c>
      <c r="H38" s="4">
        <v>62.82</v>
      </c>
      <c r="I38" s="4">
        <v>66.61</v>
      </c>
      <c r="J38" s="4">
        <v>362102</v>
      </c>
      <c r="K38" s="4">
        <v>3.03</v>
      </c>
      <c r="L38" s="7">
        <v>10.58</v>
      </c>
      <c r="M38" s="7">
        <v>63.86</v>
      </c>
      <c r="N38" s="1">
        <v>0.26400000000000001</v>
      </c>
      <c r="O38" s="10">
        <v>1640.11</v>
      </c>
    </row>
    <row r="39" spans="1:15" x14ac:dyDescent="0.25">
      <c r="A39" s="3" t="s">
        <v>49</v>
      </c>
      <c r="B39" s="3" t="s">
        <v>54</v>
      </c>
      <c r="C39" s="4">
        <v>78.5</v>
      </c>
      <c r="D39" s="4">
        <v>94.72</v>
      </c>
      <c r="E39" s="6">
        <v>5.93</v>
      </c>
      <c r="F39" s="6">
        <v>106413.7</v>
      </c>
      <c r="G39" s="6">
        <v>10.83</v>
      </c>
      <c r="H39" s="4">
        <v>69.61</v>
      </c>
      <c r="I39" s="4">
        <v>73.489999999999995</v>
      </c>
      <c r="J39" s="4">
        <v>655061</v>
      </c>
      <c r="K39" s="4">
        <v>2.16</v>
      </c>
      <c r="L39" s="7">
        <v>9.07</v>
      </c>
      <c r="M39" s="7">
        <v>64.52</v>
      </c>
      <c r="N39" s="1">
        <v>0.34300000000000003</v>
      </c>
      <c r="O39" s="10">
        <v>1912.03</v>
      </c>
    </row>
    <row r="40" spans="1:15" x14ac:dyDescent="0.25">
      <c r="A40" s="3" t="s">
        <v>49</v>
      </c>
      <c r="B40" s="3" t="s">
        <v>55</v>
      </c>
      <c r="C40" s="4">
        <v>73.349999999999994</v>
      </c>
      <c r="D40" s="4">
        <v>87.25</v>
      </c>
      <c r="E40" s="6">
        <v>4.24</v>
      </c>
      <c r="F40" s="6">
        <v>77163.94</v>
      </c>
      <c r="G40" s="6">
        <v>10.08</v>
      </c>
      <c r="H40" s="4">
        <v>64.680000000000007</v>
      </c>
      <c r="I40" s="4">
        <v>68.61</v>
      </c>
      <c r="J40" s="4">
        <v>540032</v>
      </c>
      <c r="K40" s="4">
        <v>2.46</v>
      </c>
      <c r="L40" s="7">
        <v>10.130000000000001</v>
      </c>
      <c r="M40" s="7">
        <v>61.37</v>
      </c>
      <c r="N40" s="1">
        <v>0.36299999999999999</v>
      </c>
      <c r="O40" s="10">
        <v>439.48</v>
      </c>
    </row>
    <row r="41" spans="1:15" x14ac:dyDescent="0.25">
      <c r="A41" s="3" t="s">
        <v>49</v>
      </c>
      <c r="B41" s="3" t="s">
        <v>56</v>
      </c>
      <c r="C41" s="4">
        <v>72.44</v>
      </c>
      <c r="D41" s="4">
        <v>92.47</v>
      </c>
      <c r="E41" s="6">
        <v>6.79</v>
      </c>
      <c r="F41" s="6">
        <v>23392.75</v>
      </c>
      <c r="G41" s="6">
        <v>8.89</v>
      </c>
      <c r="H41" s="4">
        <v>65.91</v>
      </c>
      <c r="I41" s="4">
        <v>70.06</v>
      </c>
      <c r="J41" s="4">
        <v>431210</v>
      </c>
      <c r="K41" s="4">
        <v>1.99</v>
      </c>
      <c r="L41" s="7">
        <v>9.41</v>
      </c>
      <c r="M41" s="7">
        <v>62.16</v>
      </c>
      <c r="N41" s="1">
        <v>0.34</v>
      </c>
      <c r="O41" s="10">
        <v>700.95</v>
      </c>
    </row>
    <row r="42" spans="1:15" x14ac:dyDescent="0.25">
      <c r="A42" s="3" t="s">
        <v>49</v>
      </c>
      <c r="B42" s="3" t="s">
        <v>57</v>
      </c>
      <c r="C42" s="4">
        <v>81.599999999999994</v>
      </c>
      <c r="D42" s="4">
        <v>93.8</v>
      </c>
      <c r="E42" s="6">
        <v>2.57</v>
      </c>
      <c r="F42" s="6">
        <v>62393.120000000003</v>
      </c>
      <c r="G42" s="6">
        <v>11.82</v>
      </c>
      <c r="H42" s="4">
        <v>70.55</v>
      </c>
      <c r="I42" s="4">
        <v>74.31</v>
      </c>
      <c r="J42" s="4">
        <v>665610</v>
      </c>
      <c r="K42" s="4">
        <v>1.89</v>
      </c>
      <c r="L42" s="7">
        <v>8.6</v>
      </c>
      <c r="M42" s="7">
        <v>62.56</v>
      </c>
      <c r="N42" s="1">
        <v>0.37</v>
      </c>
      <c r="O42" s="10">
        <v>1365.39</v>
      </c>
    </row>
    <row r="45" spans="1:15" ht="15.75" customHeight="1" x14ac:dyDescent="0.2">
      <c r="O45" s="7"/>
    </row>
    <row r="46" spans="1:15" ht="15.75" customHeight="1" x14ac:dyDescent="0.2">
      <c r="O46" s="7"/>
    </row>
    <row r="47" spans="1:15" ht="15.75" customHeight="1" x14ac:dyDescent="0.2">
      <c r="C47" s="7" t="s">
        <v>83</v>
      </c>
      <c r="O47" s="7"/>
    </row>
    <row r="48" spans="1:15" ht="15.75" customHeight="1" x14ac:dyDescent="0.2">
      <c r="C48" s="7">
        <f>CORREL(C$2:C$42,C$2:C$42)</f>
        <v>0.99999999999999978</v>
      </c>
      <c r="D48" s="7">
        <f>CORREL(C$2:C$42,D$2:D$42)</f>
        <v>0.7707753666184135</v>
      </c>
      <c r="E48" s="7">
        <f>CORREL(C$2:C$42,E$2:E$42)</f>
        <v>-0.72840015474658171</v>
      </c>
      <c r="F48" s="7">
        <f>CORREL(C$2:C$42,F$2:F$42)</f>
        <v>0.23073560622095221</v>
      </c>
      <c r="G48" s="7">
        <f>CORREL(C$2:C$42,G$2:G$42)</f>
        <v>0.96309614183186121</v>
      </c>
      <c r="H48" s="7">
        <f>CORREL(C$2:C$42,H$2:H$42)</f>
        <v>0.63490222842939614</v>
      </c>
      <c r="I48" s="7">
        <f>CORREL(C$2:C$42,I$2:I$42)</f>
        <v>0.64028547469886721</v>
      </c>
      <c r="J48" s="7">
        <f>CORREL(C$2:C$42,J$2:J$42)</f>
        <v>0.83983872255200132</v>
      </c>
      <c r="K48" s="7">
        <f>CORREL(C$2:C$42,K$2:K$42)</f>
        <v>-0.66748535558605404</v>
      </c>
      <c r="L48" s="7">
        <f>CORREL(C$2:C$42,L$2:L$42)</f>
        <v>0.18334897320725438</v>
      </c>
      <c r="M48" s="7">
        <f>CORREL(C$2:C$42,M$2:M$42)</f>
        <v>-0.3767313909610307</v>
      </c>
      <c r="N48" s="7">
        <f>CORREL(C$2:C$42,N$2:N$42)</f>
        <v>0.50861555427188043</v>
      </c>
      <c r="O48" s="7"/>
    </row>
    <row r="49" spans="3:15" ht="15.75" customHeight="1" x14ac:dyDescent="0.2">
      <c r="C49" s="7">
        <f>D48</f>
        <v>0.7707753666184135</v>
      </c>
      <c r="D49" s="7">
        <f>CORREL(D$2:D$42,D$2:D$42)</f>
        <v>1</v>
      </c>
      <c r="E49" s="7">
        <f>CORREL(D$2:D$42,E$2:E$42)</f>
        <v>-0.52306682592113407</v>
      </c>
      <c r="F49" s="7">
        <f>CORREL(D$2:D$42,F$2:F$42)</f>
        <v>0.20242403261128158</v>
      </c>
      <c r="G49" s="7">
        <f>CORREL(D$2:D$42,G$2:G$42)</f>
        <v>0.7324961750800385</v>
      </c>
      <c r="H49" s="7">
        <f>CORREL(D$2:D$42,H$2:H$42)</f>
        <v>0.37857772904893822</v>
      </c>
      <c r="I49" s="7">
        <f>CORREL(D$2:D$42,I$2:I$42)</f>
        <v>0.38487454398195275</v>
      </c>
      <c r="J49" s="7">
        <f>CORREL(D$2:D$42,J$2:J$42)</f>
        <v>0.64817725537822668</v>
      </c>
      <c r="K49" s="7">
        <f>CORREL(D$2:D$42,K$2:K$42)</f>
        <v>-0.55986761826494857</v>
      </c>
      <c r="L49" s="7">
        <f>CORREL(D$2:D$42,L$2:L$42)</f>
        <v>6.3819861100150685E-2</v>
      </c>
      <c r="M49" s="7">
        <f>CORREL(D$2:D$42,M$2:M$42)</f>
        <v>-0.13820417360557427</v>
      </c>
      <c r="N49" s="7">
        <f>CORREL(D$2:D$42,N$2:N$42)</f>
        <v>0.31046403210018808</v>
      </c>
      <c r="O49" s="7"/>
    </row>
    <row r="50" spans="3:15" ht="15.75" customHeight="1" x14ac:dyDescent="0.2">
      <c r="C50" s="7">
        <f>E48</f>
        <v>-0.72840015474658171</v>
      </c>
      <c r="D50" s="7">
        <f>E49</f>
        <v>-0.52306682592113407</v>
      </c>
      <c r="E50" s="7">
        <f>CORREL(E$2:E$42,E$2:E$42)</f>
        <v>1</v>
      </c>
      <c r="F50" s="7">
        <f>CORREL(E$2:E$42,F$2:F$42)</f>
        <v>-0.15342037162042801</v>
      </c>
      <c r="G50" s="7">
        <f>CORREL(E$2:E$42,G$2:G$42)</f>
        <v>-0.73559310707158387</v>
      </c>
      <c r="H50" s="7">
        <f>CORREL(E$2:E$42,H$2:H$42)</f>
        <v>-0.27594651783400309</v>
      </c>
      <c r="I50" s="7">
        <f>CORREL(E$2:E$42,I$2:I$42)</f>
        <v>-0.27191797327363748</v>
      </c>
      <c r="J50" s="7">
        <f>CORREL(E$2:E$42,J$2:J$42)</f>
        <v>-0.54571566801813498</v>
      </c>
      <c r="K50" s="7">
        <f>CORREL(E$2:E$42,K$2:K$42)</f>
        <v>0.63830239817969103</v>
      </c>
      <c r="L50" s="7">
        <f>CORREL(E$2:E$42,L$2:L$42)</f>
        <v>-0.15151302035416228</v>
      </c>
      <c r="M50" s="7">
        <f>CORREL(E$2:E$42,M$2:M$42)</f>
        <v>0.37853954039394311</v>
      </c>
      <c r="N50" s="7">
        <f>CORREL(E$2:E$42,N$2:N$42)</f>
        <v>-0.25490517450627243</v>
      </c>
      <c r="O50" s="7"/>
    </row>
    <row r="51" spans="3:15" ht="15.75" customHeight="1" x14ac:dyDescent="0.2">
      <c r="C51" s="7">
        <f>F48</f>
        <v>0.23073560622095221</v>
      </c>
      <c r="D51" s="7">
        <f>F49</f>
        <v>0.20242403261128158</v>
      </c>
      <c r="E51" s="7">
        <f>F50</f>
        <v>-0.15342037162042801</v>
      </c>
      <c r="F51" s="7">
        <f>CORREL(F$2:F$42,F$2:F$42)</f>
        <v>1</v>
      </c>
      <c r="G51" s="7">
        <f>CORREL(F$2:F$42,G$2:G$42)</f>
        <v>0.23524926866654</v>
      </c>
      <c r="H51" s="7">
        <f>CORREL(F$2:F$42,H$2:H$42)</f>
        <v>0.17265027354194662</v>
      </c>
      <c r="I51" s="7">
        <f>CORREL(F$2:F$42,I$2:I$42)</f>
        <v>0.17300087829359603</v>
      </c>
      <c r="J51" s="7">
        <f>CORREL(F$2:F$42,J$2:J$42)</f>
        <v>0.27075687706077284</v>
      </c>
      <c r="K51" s="7">
        <f>CORREL(F$2:F$42,K$2:K$42)</f>
        <v>-3.3638470365236407E-2</v>
      </c>
      <c r="L51" s="7">
        <f>CORREL(F$2:F$42,L$2:L$42)</f>
        <v>0.12706022425897184</v>
      </c>
      <c r="M51" s="7">
        <f>CORREL(F$2:F$42,M$2:M$42)</f>
        <v>-0.43859540239044248</v>
      </c>
      <c r="N51" s="7">
        <f>CORREL(F$2:F$42,N$2:N$42)</f>
        <v>0.29837910800918804</v>
      </c>
      <c r="O51" s="7"/>
    </row>
    <row r="52" spans="3:15" ht="12.75" x14ac:dyDescent="0.2">
      <c r="C52" s="7">
        <f>G48</f>
        <v>0.96309614183186121</v>
      </c>
      <c r="D52" s="7">
        <f>G49</f>
        <v>0.7324961750800385</v>
      </c>
      <c r="E52" s="7">
        <f>G50</f>
        <v>-0.73559310707158387</v>
      </c>
      <c r="F52" s="7">
        <f>G51</f>
        <v>0.23524926866654</v>
      </c>
      <c r="G52" s="7">
        <f>CORREL(G$2:G$42,G$2:G$42)</f>
        <v>1</v>
      </c>
      <c r="H52" s="7">
        <f>CORREL(G$2:G$42,H$2:H$42)</f>
        <v>0.54604162754627061</v>
      </c>
      <c r="I52" s="7">
        <f>CORREL(G$2:G$42,I$2:I$42)</f>
        <v>0.55039369440652586</v>
      </c>
      <c r="J52" s="7">
        <f>CORREL(G$2:G$42,J$2:J$42)</f>
        <v>0.81556003503352559</v>
      </c>
      <c r="K52" s="7">
        <f>CORREL(G$2:G$42,K$2:K$42)</f>
        <v>-0.63051758641804334</v>
      </c>
      <c r="L52" s="7">
        <f>CORREL(G$2:G$42,L$2:L$42)</f>
        <v>0.19876589224970026</v>
      </c>
      <c r="M52" s="7">
        <f>CORREL(G$2:G$42,M$2:M$42)</f>
        <v>-0.45191834574863643</v>
      </c>
      <c r="N52" s="7">
        <f>CORREL(G$2:G$42,N$2:N$42)</f>
        <v>0.53132268588889087</v>
      </c>
      <c r="O52" s="7"/>
    </row>
    <row r="53" spans="3:15" ht="12.75" x14ac:dyDescent="0.2">
      <c r="C53" s="7">
        <f>H48</f>
        <v>0.63490222842939614</v>
      </c>
      <c r="D53" s="7">
        <f>H49</f>
        <v>0.37857772904893822</v>
      </c>
      <c r="E53" s="7">
        <f>H50</f>
        <v>-0.27594651783400309</v>
      </c>
      <c r="F53" s="7">
        <f>H51</f>
        <v>0.17265027354194662</v>
      </c>
      <c r="G53" s="7">
        <f>H52</f>
        <v>0.54604162754627061</v>
      </c>
      <c r="H53" s="7">
        <f>CORREL(H$2:H$42,H$2:H$42)</f>
        <v>1</v>
      </c>
      <c r="I53" s="7">
        <f>CORREL(H$2:H$42,I$2:I$42)</f>
        <v>0.99912998241995488</v>
      </c>
      <c r="J53" s="7">
        <f>CORREL(H$2:H$42,J$2:J$42)</f>
        <v>0.39738408501309902</v>
      </c>
      <c r="K53" s="7">
        <f>CORREL(H$2:H$42,K$2:K$42)</f>
        <v>-0.12388948284745156</v>
      </c>
      <c r="L53" s="7">
        <f>CORREL(H$2:H$42,L$2:L$42)</f>
        <v>0.20385767641299007</v>
      </c>
      <c r="M53" s="7">
        <f>CORREL(H$2:H$42,M$2:M$42)</f>
        <v>-5.6413189261224211E-2</v>
      </c>
      <c r="N53" s="7">
        <f>CORREL(H$2:H$42,N$2:N$42)</f>
        <v>0.58101346892750305</v>
      </c>
      <c r="O53" s="7"/>
    </row>
    <row r="54" spans="3:15" ht="12.75" x14ac:dyDescent="0.2">
      <c r="C54" s="7">
        <f>I48</f>
        <v>0.64028547469886721</v>
      </c>
      <c r="D54" s="7">
        <f>I49</f>
        <v>0.38487454398195275</v>
      </c>
      <c r="E54" s="7">
        <f>I50</f>
        <v>-0.27191797327363748</v>
      </c>
      <c r="F54" s="7">
        <f>I51</f>
        <v>0.17300087829359603</v>
      </c>
      <c r="G54" s="7">
        <f>I52</f>
        <v>0.55039369440652586</v>
      </c>
      <c r="H54" s="7">
        <f>I53</f>
        <v>0.99912998241995488</v>
      </c>
      <c r="I54" s="7">
        <f>CORREL(I$2:I$42,I$2:I$42)</f>
        <v>0.99999999999999989</v>
      </c>
      <c r="J54" s="7">
        <f>CORREL(I$2:I$42,J$2:J$42)</f>
        <v>0.41118728965877294</v>
      </c>
      <c r="K54" s="7">
        <f>CORREL(I$2:I$42,K$2:K$42)</f>
        <v>-0.13360221998205085</v>
      </c>
      <c r="L54" s="7">
        <f>CORREL(I$2:I$42,L$2:L$42)</f>
        <v>0.19575996230694268</v>
      </c>
      <c r="M54" s="7">
        <f>CORREL(I$2:I$42,M$2:M$42)</f>
        <v>-5.7707324051470409E-2</v>
      </c>
      <c r="N54" s="7">
        <f>CORREL(I$2:I$42,N$2:N$42)</f>
        <v>0.57641929979081652</v>
      </c>
      <c r="O54" s="7"/>
    </row>
    <row r="55" spans="3:15" ht="15" x14ac:dyDescent="0.25">
      <c r="C55" s="7">
        <f>J48</f>
        <v>0.83983872255200132</v>
      </c>
      <c r="D55" s="4">
        <f>J49</f>
        <v>0.64817725537822668</v>
      </c>
      <c r="E55" s="7">
        <f>J50</f>
        <v>-0.54571566801813498</v>
      </c>
      <c r="F55" s="7">
        <f>J51</f>
        <v>0.27075687706077284</v>
      </c>
      <c r="G55" s="7">
        <f>J52</f>
        <v>0.81556003503352559</v>
      </c>
      <c r="H55" s="7">
        <f>J53</f>
        <v>0.39738408501309902</v>
      </c>
      <c r="I55" s="7">
        <f>J54</f>
        <v>0.41118728965877294</v>
      </c>
      <c r="J55" s="7">
        <f>CORREL(J$2:J$42,J$2:J$42)</f>
        <v>1.0000000000000002</v>
      </c>
      <c r="K55" s="7">
        <f>CORREL(J$2:J$42,K$2:K$42)</f>
        <v>-0.73602570069722173</v>
      </c>
      <c r="L55" s="7">
        <f>CORREL(J$2:J$42,L$2:L$42)</f>
        <v>9.7188974046957866E-2</v>
      </c>
      <c r="M55" s="7">
        <f>CORREL(J$2:J$42,M$2:M$42)</f>
        <v>-0.32345591141070607</v>
      </c>
      <c r="N55" s="7">
        <f>CORREL(J$2:J$42,N$2:N$42)</f>
        <v>0.26267675819869002</v>
      </c>
      <c r="O55" s="7"/>
    </row>
    <row r="56" spans="3:15" ht="15" x14ac:dyDescent="0.25">
      <c r="C56" s="7">
        <f>K48</f>
        <v>-0.66748535558605404</v>
      </c>
      <c r="D56" s="4">
        <f>K49</f>
        <v>-0.55986761826494857</v>
      </c>
      <c r="E56" s="7">
        <f>K50</f>
        <v>0.63830239817969103</v>
      </c>
      <c r="F56" s="7">
        <f>K51</f>
        <v>-3.3638470365236407E-2</v>
      </c>
      <c r="G56" s="7">
        <f>K52</f>
        <v>-0.63051758641804334</v>
      </c>
      <c r="H56" s="7">
        <f>K53</f>
        <v>-0.12388948284745156</v>
      </c>
      <c r="I56" s="7">
        <f>K54</f>
        <v>-0.13360221998205085</v>
      </c>
      <c r="J56" s="7">
        <f>K55</f>
        <v>-0.73602570069722173</v>
      </c>
      <c r="K56" s="7">
        <f>CORREL(K$2:K$42,K$2:K$42)</f>
        <v>1</v>
      </c>
      <c r="L56" s="7">
        <f>CORREL(K$2:K$42,L$2:L$42)</f>
        <v>-0.20520940101186649</v>
      </c>
      <c r="M56" s="7">
        <f>CORREL(K$2:K$42,M$2:M$42)</f>
        <v>0.29268758885995833</v>
      </c>
      <c r="N56" s="7">
        <f>CORREL(K$2:K$42,N$2:N$42)</f>
        <v>3.3277797602123967E-2</v>
      </c>
      <c r="O56" s="7"/>
    </row>
    <row r="57" spans="3:15" ht="15" x14ac:dyDescent="0.25">
      <c r="C57" s="7">
        <f>L48</f>
        <v>0.18334897320725438</v>
      </c>
      <c r="D57" s="4">
        <f>L49</f>
        <v>6.3819861100150685E-2</v>
      </c>
      <c r="E57" s="7">
        <f>L50</f>
        <v>-0.15151302035416228</v>
      </c>
      <c r="F57" s="7">
        <f>L51</f>
        <v>0.12706022425897184</v>
      </c>
      <c r="G57" s="7">
        <f>L52</f>
        <v>0.19876589224970026</v>
      </c>
      <c r="H57" s="7">
        <f>L53</f>
        <v>0.20385767641299007</v>
      </c>
      <c r="I57" s="7">
        <f>L54</f>
        <v>0.19575996230694268</v>
      </c>
      <c r="J57" s="7">
        <f>L55</f>
        <v>9.7188974046957866E-2</v>
      </c>
      <c r="K57" s="7">
        <f>L56</f>
        <v>-0.20520940101186649</v>
      </c>
      <c r="L57" s="7">
        <f>CORREL(L$2:L$42,L$2:L$42)</f>
        <v>0.99999999999999978</v>
      </c>
      <c r="M57" s="7">
        <f>CORREL(L$2:L$42,M$2:M$42)</f>
        <v>-0.57995127032843929</v>
      </c>
      <c r="N57" s="7">
        <f>CORREL(L$2:L$42,N$2:N$42)</f>
        <v>0.32246108753441743</v>
      </c>
      <c r="O57" s="7"/>
    </row>
    <row r="58" spans="3:15" ht="15.75" customHeight="1" x14ac:dyDescent="0.25">
      <c r="C58" s="7">
        <f>M48</f>
        <v>-0.3767313909610307</v>
      </c>
      <c r="D58" s="4">
        <f>M49</f>
        <v>-0.13820417360557427</v>
      </c>
      <c r="E58" s="7">
        <f>M50</f>
        <v>0.37853954039394311</v>
      </c>
      <c r="F58" s="7">
        <f>M51</f>
        <v>-0.43859540239044248</v>
      </c>
      <c r="G58" s="7">
        <f>M52</f>
        <v>-0.45191834574863643</v>
      </c>
      <c r="H58" s="7">
        <f>M53</f>
        <v>-5.6413189261224211E-2</v>
      </c>
      <c r="I58" s="7">
        <f>M54</f>
        <v>-5.7707324051470409E-2</v>
      </c>
      <c r="J58" s="7">
        <f>M55</f>
        <v>-0.32345591141070607</v>
      </c>
      <c r="K58" s="7">
        <f>M56</f>
        <v>0.29268758885995833</v>
      </c>
      <c r="L58" s="7">
        <f>M57</f>
        <v>-0.57995127032843929</v>
      </c>
      <c r="M58" s="7">
        <f>CORREL(M$2:M$42,M$2:M$42)</f>
        <v>1</v>
      </c>
      <c r="N58" s="7">
        <f>CORREL(M$2:M$42,N$2:N$42)</f>
        <v>-0.24943300961271039</v>
      </c>
    </row>
    <row r="59" spans="3:15" ht="15.75" customHeight="1" x14ac:dyDescent="0.25">
      <c r="C59" s="7">
        <f>N48</f>
        <v>0.50861555427188043</v>
      </c>
      <c r="D59" s="4">
        <f>N49</f>
        <v>0.31046403210018808</v>
      </c>
      <c r="E59" s="7">
        <f>N50</f>
        <v>-0.25490517450627243</v>
      </c>
      <c r="F59" s="7">
        <f>N51</f>
        <v>0.29837910800918804</v>
      </c>
      <c r="G59" s="7">
        <f>N52</f>
        <v>0.53132268588889087</v>
      </c>
      <c r="H59" s="7">
        <f>N53</f>
        <v>0.58101346892750305</v>
      </c>
      <c r="I59" s="7">
        <f>N54</f>
        <v>0.57641929979081652</v>
      </c>
      <c r="J59" s="7">
        <f>N55</f>
        <v>0.26267675819869002</v>
      </c>
      <c r="K59" s="7">
        <f>N56</f>
        <v>3.3277797602123967E-2</v>
      </c>
      <c r="L59" s="7">
        <f>N57</f>
        <v>0.32246108753441743</v>
      </c>
      <c r="M59" s="7">
        <f>N58</f>
        <v>-0.24943300961271039</v>
      </c>
      <c r="N59" s="7">
        <f>CORREL(N$2:N$42,N$2:N$42)</f>
        <v>0.99999999999999989</v>
      </c>
    </row>
    <row r="60" spans="3:15" ht="15.75" customHeight="1" x14ac:dyDescent="0.2">
      <c r="C60" s="7">
        <f>SUMSQ(C48:N59) - 12</f>
        <v>28.596630050335605</v>
      </c>
    </row>
    <row r="62" spans="3:15" ht="15.75" customHeight="1" x14ac:dyDescent="0.2">
      <c r="C62" s="17"/>
    </row>
    <row r="63" spans="3:15" ht="15.75" customHeight="1" x14ac:dyDescent="0.2">
      <c r="C63" s="7" t="s">
        <v>82</v>
      </c>
    </row>
    <row r="64" spans="3:15" ht="15.75" customHeight="1" x14ac:dyDescent="0.2">
      <c r="C64" s="7" cm="1">
        <f t="array" ref="C64:N75">MINVERSE(C48:N59)</f>
        <v>40.143582113890417</v>
      </c>
      <c r="D64" s="7">
        <v>-5.9861256905570635</v>
      </c>
      <c r="E64" s="7">
        <v>3.5982708189661472</v>
      </c>
      <c r="F64" s="7">
        <v>1.7015578353614085</v>
      </c>
      <c r="G64" s="7">
        <v>-16.627799566003592</v>
      </c>
      <c r="H64" s="7">
        <v>-21.241607057493187</v>
      </c>
      <c r="I64" s="7">
        <v>11.915009879566464</v>
      </c>
      <c r="J64" s="7">
        <v>-6.2590620565052353</v>
      </c>
      <c r="K64" s="7">
        <v>4.7913842327599285</v>
      </c>
      <c r="L64" s="7">
        <v>2.9824766410121426</v>
      </c>
      <c r="M64" s="7">
        <v>3.3378531770461879</v>
      </c>
      <c r="N64" s="7">
        <v>-2.4858182127338142</v>
      </c>
    </row>
    <row r="65" spans="3:14" ht="15.75" customHeight="1" x14ac:dyDescent="0.2">
      <c r="C65" s="7">
        <v>-5.9861256905570679</v>
      </c>
      <c r="D65" s="7">
        <v>3.7561964154513769</v>
      </c>
      <c r="E65" s="7">
        <v>-0.80700240223685415</v>
      </c>
      <c r="F65" s="7">
        <v>-0.99292261008550253</v>
      </c>
      <c r="G65" s="7">
        <v>-0.81674182253107697</v>
      </c>
      <c r="H65" s="7">
        <v>9.6711477884851078</v>
      </c>
      <c r="I65" s="7">
        <v>-7.9192403244275456</v>
      </c>
      <c r="J65" s="7">
        <v>1.5136875372371952</v>
      </c>
      <c r="K65" s="7">
        <v>-0.33574831039052999</v>
      </c>
      <c r="L65" s="7">
        <v>-0.99360284872698834</v>
      </c>
      <c r="M65" s="7">
        <v>-1.9353989877215219</v>
      </c>
      <c r="N65" s="7">
        <v>0.79992861248149294</v>
      </c>
    </row>
    <row r="66" spans="3:14" ht="15.75" customHeight="1" x14ac:dyDescent="0.2">
      <c r="C66" s="7">
        <v>3.5982708189661281</v>
      </c>
      <c r="D66" s="7">
        <v>-0.80700240223684017</v>
      </c>
      <c r="E66" s="7">
        <v>3.5881436496846635</v>
      </c>
      <c r="F66" s="7">
        <v>0.4105443340679148</v>
      </c>
      <c r="G66" s="7">
        <v>1.350485780232707</v>
      </c>
      <c r="H66" s="7">
        <v>12.709305865870467</v>
      </c>
      <c r="I66" s="7">
        <v>-13.638239776216686</v>
      </c>
      <c r="J66" s="7">
        <v>-1.8885631455889793</v>
      </c>
      <c r="K66" s="7">
        <v>-1.173372952041662</v>
      </c>
      <c r="L66" s="7">
        <v>-0.14231930070876855</v>
      </c>
      <c r="M66" s="7">
        <v>0.15426524741859785</v>
      </c>
      <c r="N66" s="7">
        <v>-0.4084295611561447</v>
      </c>
    </row>
    <row r="67" spans="3:14" ht="15.75" customHeight="1" x14ac:dyDescent="0.2">
      <c r="C67" s="7">
        <v>1.7015578353614054</v>
      </c>
      <c r="D67" s="7">
        <v>-0.99292261008550309</v>
      </c>
      <c r="E67" s="7">
        <v>0.41054433406792551</v>
      </c>
      <c r="F67" s="7">
        <v>1.9095928210335877</v>
      </c>
      <c r="G67" s="7">
        <v>1.508731260432725</v>
      </c>
      <c r="H67" s="7">
        <v>-8.0293493351151763</v>
      </c>
      <c r="I67" s="7">
        <v>7.2706585418802963</v>
      </c>
      <c r="J67" s="7">
        <v>-1.5001644100086635</v>
      </c>
      <c r="K67" s="7">
        <v>-8.0345878249128783E-2</v>
      </c>
      <c r="L67" s="7">
        <v>0.83461828725265508</v>
      </c>
      <c r="M67" s="7">
        <v>1.6548058900882225</v>
      </c>
      <c r="N67" s="7">
        <v>-0.80935234206381712</v>
      </c>
    </row>
    <row r="68" spans="3:14" ht="15.75" customHeight="1" x14ac:dyDescent="0.2">
      <c r="C68" s="7">
        <v>-16.627799566003571</v>
      </c>
      <c r="D68" s="7">
        <v>-0.81674182253107674</v>
      </c>
      <c r="E68" s="7">
        <v>1.3504857802327412</v>
      </c>
      <c r="F68" s="7">
        <v>1.5087312604327157</v>
      </c>
      <c r="G68" s="7">
        <v>20.925234724098651</v>
      </c>
      <c r="H68" s="7">
        <v>-12.856033445092923</v>
      </c>
      <c r="I68" s="7">
        <v>14.604210930618299</v>
      </c>
      <c r="J68" s="7">
        <v>-2.6144053916784569</v>
      </c>
      <c r="K68" s="7">
        <v>-1.2867452339310244</v>
      </c>
      <c r="L68" s="7">
        <v>1.2027694046135451</v>
      </c>
      <c r="M68" s="7">
        <v>2.9832948635219068</v>
      </c>
      <c r="N68" s="7">
        <v>-2.3760245222797778</v>
      </c>
    </row>
    <row r="69" spans="3:14" ht="15.75" customHeight="1" x14ac:dyDescent="0.2">
      <c r="C69" s="7">
        <v>-21.241607057493511</v>
      </c>
      <c r="D69" s="7">
        <v>9.6711477884855022</v>
      </c>
      <c r="E69" s="7">
        <v>12.709305865869837</v>
      </c>
      <c r="F69" s="7">
        <v>-8.029349335115505</v>
      </c>
      <c r="G69" s="7">
        <v>-12.8560334450945</v>
      </c>
      <c r="H69" s="7">
        <v>890.22296419115241</v>
      </c>
      <c r="I69" s="7">
        <v>-879.75622685570045</v>
      </c>
      <c r="J69" s="7">
        <v>22.89073618865071</v>
      </c>
      <c r="K69" s="7">
        <v>-14.048118876982654</v>
      </c>
      <c r="L69" s="7">
        <v>-18.573452450625247</v>
      </c>
      <c r="M69" s="7">
        <v>-19.163418561627257</v>
      </c>
      <c r="N69" s="7">
        <v>5.8082166709597756</v>
      </c>
    </row>
    <row r="70" spans="3:14" ht="15.75" customHeight="1" x14ac:dyDescent="0.2">
      <c r="C70" s="7">
        <v>11.915009879567235</v>
      </c>
      <c r="D70" s="7">
        <v>-7.9192403244279372</v>
      </c>
      <c r="E70" s="7">
        <v>-13.638239776215995</v>
      </c>
      <c r="F70" s="7">
        <v>7.2706585418806364</v>
      </c>
      <c r="G70" s="7">
        <v>14.604210930619601</v>
      </c>
      <c r="H70" s="7">
        <v>-879.75622685570067</v>
      </c>
      <c r="I70" s="7">
        <v>873.68476782546657</v>
      </c>
      <c r="J70" s="7">
        <v>-21.539975067519872</v>
      </c>
      <c r="K70" s="7">
        <v>12.224297068630245</v>
      </c>
      <c r="L70" s="7">
        <v>17.011338637625691</v>
      </c>
      <c r="M70" s="7">
        <v>17.098863323706581</v>
      </c>
      <c r="N70" s="7">
        <v>-5.4347047600174365</v>
      </c>
    </row>
    <row r="71" spans="3:14" ht="15.75" customHeight="1" x14ac:dyDescent="0.2">
      <c r="C71" s="7">
        <v>-6.2590620565052442</v>
      </c>
      <c r="D71" s="7">
        <v>1.5136875372371963</v>
      </c>
      <c r="E71" s="7">
        <v>-1.8885631455890128</v>
      </c>
      <c r="F71" s="7">
        <v>-1.5001644100086633</v>
      </c>
      <c r="G71" s="7">
        <v>-2.614405391678464</v>
      </c>
      <c r="H71" s="7">
        <v>22.890736188649569</v>
      </c>
      <c r="I71" s="7">
        <v>-21.539975067518732</v>
      </c>
      <c r="J71" s="7">
        <v>6.9646091783989554</v>
      </c>
      <c r="K71" s="7">
        <v>1.5392073654828933</v>
      </c>
      <c r="L71" s="7">
        <v>-0.54111091988160975</v>
      </c>
      <c r="M71" s="7">
        <v>-1.458471848908254</v>
      </c>
      <c r="N71" s="7">
        <v>1.1150819833565138</v>
      </c>
    </row>
    <row r="72" spans="3:14" ht="15.75" customHeight="1" x14ac:dyDescent="0.2">
      <c r="C72" s="7">
        <v>4.7913842327599392</v>
      </c>
      <c r="D72" s="7">
        <v>-0.33574831039053643</v>
      </c>
      <c r="E72" s="7">
        <v>-1.1733729520416571</v>
      </c>
      <c r="F72" s="7">
        <v>-8.0345878249123023E-2</v>
      </c>
      <c r="G72" s="7">
        <v>-1.286745233931001</v>
      </c>
      <c r="H72" s="7">
        <v>-14.048118876982901</v>
      </c>
      <c r="I72" s="7">
        <v>12.22429706863049</v>
      </c>
      <c r="J72" s="7">
        <v>1.5392073654828735</v>
      </c>
      <c r="K72" s="7">
        <v>5.0614485939916936</v>
      </c>
      <c r="L72" s="7">
        <v>1.7896683672565321</v>
      </c>
      <c r="M72" s="7">
        <v>1.1355957097901703</v>
      </c>
      <c r="N72" s="7">
        <v>-1.6749488363234382</v>
      </c>
    </row>
    <row r="73" spans="3:14" ht="15.75" customHeight="1" x14ac:dyDescent="0.2">
      <c r="C73" s="7">
        <v>2.9824766410121404</v>
      </c>
      <c r="D73" s="7">
        <v>-0.99360284872699345</v>
      </c>
      <c r="E73" s="7">
        <v>-0.14231930070875265</v>
      </c>
      <c r="F73" s="7">
        <v>0.83461828725265952</v>
      </c>
      <c r="G73" s="7">
        <v>1.2027694046135788</v>
      </c>
      <c r="H73" s="7">
        <v>-18.573452450625055</v>
      </c>
      <c r="I73" s="7">
        <v>17.011338637625499</v>
      </c>
      <c r="J73" s="7">
        <v>-0.54111091988162596</v>
      </c>
      <c r="K73" s="7">
        <v>1.7896683672565252</v>
      </c>
      <c r="L73" s="7">
        <v>2.9508443168611569</v>
      </c>
      <c r="M73" s="7">
        <v>2.5520787545688766</v>
      </c>
      <c r="N73" s="7">
        <v>-1.3794419301609178</v>
      </c>
    </row>
    <row r="74" spans="3:14" ht="15.75" customHeight="1" x14ac:dyDescent="0.2">
      <c r="C74" s="7">
        <v>3.3378531770462194</v>
      </c>
      <c r="D74" s="7">
        <v>-1.9353989877215285</v>
      </c>
      <c r="E74" s="7">
        <v>0.15426524741862102</v>
      </c>
      <c r="F74" s="7">
        <v>1.6548058900882254</v>
      </c>
      <c r="G74" s="7">
        <v>2.9832948635219094</v>
      </c>
      <c r="H74" s="7">
        <v>-19.163418561626756</v>
      </c>
      <c r="I74" s="7">
        <v>17.098863323706073</v>
      </c>
      <c r="J74" s="7">
        <v>-1.4584718489082644</v>
      </c>
      <c r="K74" s="7">
        <v>1.1355957097901599</v>
      </c>
      <c r="L74" s="7">
        <v>2.5520787545688712</v>
      </c>
      <c r="M74" s="7">
        <v>4.2702448130759825</v>
      </c>
      <c r="N74" s="7">
        <v>-1.2707410769804264</v>
      </c>
    </row>
    <row r="75" spans="3:14" ht="15.75" customHeight="1" x14ac:dyDescent="0.2">
      <c r="C75" s="7">
        <v>-2.4858182127338169</v>
      </c>
      <c r="D75" s="7">
        <v>0.7999286124814925</v>
      </c>
      <c r="E75" s="7">
        <v>-0.40842956115615597</v>
      </c>
      <c r="F75" s="7">
        <v>-0.80935234206381557</v>
      </c>
      <c r="G75" s="7">
        <v>-2.3760245222797765</v>
      </c>
      <c r="H75" s="7">
        <v>5.8082166709593377</v>
      </c>
      <c r="I75" s="7">
        <v>-5.4347047600169986</v>
      </c>
      <c r="J75" s="7">
        <v>1.1150819833565084</v>
      </c>
      <c r="K75" s="7">
        <v>-1.6749488363234319</v>
      </c>
      <c r="L75" s="7">
        <v>-1.3794419301609111</v>
      </c>
      <c r="M75" s="7">
        <v>-1.2707410769804208</v>
      </c>
      <c r="N75" s="7">
        <v>3.0644961555490595</v>
      </c>
    </row>
    <row r="78" spans="3:14" ht="15.75" customHeight="1" x14ac:dyDescent="0.2">
      <c r="C78" s="7" t="s">
        <v>84</v>
      </c>
    </row>
    <row r="79" spans="3:14" ht="15.75" customHeight="1" x14ac:dyDescent="0.2">
      <c r="C79" s="7">
        <f>-(C64)/SQRT(C64*C64)</f>
        <v>-1</v>
      </c>
      <c r="D79" s="7">
        <f>-(D64)/SQRT(C64*D65)</f>
        <v>0.48748765585058129</v>
      </c>
      <c r="E79" s="7">
        <f>-(E64)/SQRT(C64*E66)</f>
        <v>-0.2998132861114825</v>
      </c>
      <c r="F79" s="7">
        <f>-(F64)/SQRT(C64*F67)</f>
        <v>-0.19434271562924796</v>
      </c>
      <c r="G79" s="7">
        <f>-(G64)/SQRT(C64*G68)</f>
        <v>0.57370885104566194</v>
      </c>
      <c r="H79" s="7">
        <f>-(H64)/SQRT(C64*H69)</f>
        <v>0.11236470412798011</v>
      </c>
      <c r="I79" s="7">
        <f>-(I64)/SQRT(C64*I70)</f>
        <v>-6.3622241111914127E-2</v>
      </c>
      <c r="J79" s="7">
        <f>-(J64)/SQRT(C64*J71)</f>
        <v>0.37432843667482296</v>
      </c>
      <c r="K79" s="7">
        <f>-(K64)/SQRT(C64*K72)</f>
        <v>-0.33613638311092042</v>
      </c>
      <c r="L79" s="7">
        <f>-(L64)/SQRT(C64*L73)</f>
        <v>-0.27402856772568579</v>
      </c>
      <c r="M79" s="7">
        <f>-(M64)/SQRT(C64*M74)</f>
        <v>-0.25493694716579063</v>
      </c>
      <c r="N79" s="7">
        <f>-(N64)/SQRT(C64*N75)</f>
        <v>0.22412059338876866</v>
      </c>
    </row>
    <row r="80" spans="3:14" ht="15.75" customHeight="1" x14ac:dyDescent="0.2">
      <c r="C80" s="7">
        <f>D79</f>
        <v>0.48748765585058129</v>
      </c>
      <c r="D80" s="7">
        <f>-(D65)/SQRT(D65*D65)</f>
        <v>-1</v>
      </c>
      <c r="E80" s="7">
        <f>-(E65)/SQRT(D65*E66)</f>
        <v>0.2198192743146013</v>
      </c>
      <c r="F80" s="7">
        <f>-(F65)/SQRT(D65*F67)</f>
        <v>0.37074121308168945</v>
      </c>
      <c r="G80" s="7">
        <f>-(G65)/SQRT(D65*G68)</f>
        <v>9.2124571065005198E-2</v>
      </c>
      <c r="H80" s="7">
        <f>-(H65)/SQRT(D65*H69)</f>
        <v>-0.16724551355672584</v>
      </c>
      <c r="I80" s="7">
        <f>-(I65)/SQRT(D65*I70)</f>
        <v>0.1382394488538263</v>
      </c>
      <c r="J80" s="7">
        <f>-(J65)/SQRT(D65*J71)</f>
        <v>-0.29594684391316417</v>
      </c>
      <c r="K80" s="7">
        <f>-(K65)/SQRT(D65*K72)</f>
        <v>7.7002047568800941E-2</v>
      </c>
      <c r="L80" s="7">
        <f>-(L65)/SQRT(D65*L73)</f>
        <v>0.29844584187491763</v>
      </c>
      <c r="M80" s="7">
        <f>-(M65)/SQRT(D65*M74)</f>
        <v>0.48324790028756609</v>
      </c>
      <c r="N80" s="7">
        <f>-(N65)/SQRT(D65*N75)</f>
        <v>-0.23577488618233777</v>
      </c>
    </row>
    <row r="81" spans="3:14" ht="15.75" customHeight="1" x14ac:dyDescent="0.2">
      <c r="C81" s="7">
        <f>E79</f>
        <v>-0.2998132861114825</v>
      </c>
      <c r="D81" s="7">
        <f>E80</f>
        <v>0.2198192743146013</v>
      </c>
      <c r="E81" s="7">
        <f>-(E66)/SQRT(E66*E66)</f>
        <v>-1</v>
      </c>
      <c r="F81" s="7">
        <f>-(F66)/SQRT(E66*F67)</f>
        <v>-0.15683925308565205</v>
      </c>
      <c r="G81" s="7">
        <f>-(G66)/SQRT(E66*G68)</f>
        <v>-0.15585471158452135</v>
      </c>
      <c r="H81" s="7">
        <f>-(H66)/SQRT(E66*H69)</f>
        <v>-0.22487310902660057</v>
      </c>
      <c r="I81" s="7">
        <f>-(I66)/SQRT(E66*I70)</f>
        <v>0.24358246929300367</v>
      </c>
      <c r="J81" s="7">
        <f>-(J66)/SQRT(E66*J71)</f>
        <v>0.37778805677425514</v>
      </c>
      <c r="K81" s="7">
        <f>-(K66)/SQRT(E66*K72)</f>
        <v>0.2753364743025139</v>
      </c>
      <c r="L81" s="7">
        <f>-(L66)/SQRT(E66*L73)</f>
        <v>4.3737679897742264E-2</v>
      </c>
      <c r="M81" s="7">
        <f>-(M66)/SQRT(E66*M74)</f>
        <v>-3.9410033350005043E-2</v>
      </c>
      <c r="N81" s="7">
        <f>-(N66)/SQRT(E66*N75)</f>
        <v>0.12316936901192166</v>
      </c>
    </row>
    <row r="82" spans="3:14" ht="15.75" customHeight="1" x14ac:dyDescent="0.2">
      <c r="C82" s="7">
        <f>F79</f>
        <v>-0.19434271562924796</v>
      </c>
      <c r="D82" s="7">
        <f>F80</f>
        <v>0.37074121308168945</v>
      </c>
      <c r="E82" s="7">
        <f>F81</f>
        <v>-0.15683925308565205</v>
      </c>
      <c r="F82" s="7">
        <f>-(F67)/SQRT(F67*F67)</f>
        <v>-1</v>
      </c>
      <c r="G82" s="7">
        <f>-(G67)/SQRT(F67*G68)</f>
        <v>-0.23867467127057945</v>
      </c>
      <c r="H82" s="7">
        <f>-(H67)/SQRT(F67*H69)</f>
        <v>0.19474242337634087</v>
      </c>
      <c r="I82" s="7">
        <f>-(I67)/SQRT(F67*I70)</f>
        <v>-0.1780024501462181</v>
      </c>
      <c r="J82" s="7">
        <f>-(J67)/SQRT(F67*J71)</f>
        <v>0.41135814033030166</v>
      </c>
      <c r="K82" s="7">
        <f>-(K67)/SQRT(F67*K72)</f>
        <v>2.5843766023336292E-2</v>
      </c>
      <c r="L82" s="7">
        <f>-(L67)/SQRT(F67*L73)</f>
        <v>-0.3515963524984288</v>
      </c>
      <c r="M82" s="7">
        <f>-(M67)/SQRT(F67*M74)</f>
        <v>-0.57949578904865862</v>
      </c>
      <c r="N82" s="7">
        <f>-(N67)/SQRT(F67*N75)</f>
        <v>0.33457054262856778</v>
      </c>
    </row>
    <row r="83" spans="3:14" ht="15.75" customHeight="1" x14ac:dyDescent="0.2">
      <c r="C83" s="7">
        <f>G79</f>
        <v>0.57370885104566194</v>
      </c>
      <c r="D83" s="7">
        <f>G80</f>
        <v>9.2124571065005198E-2</v>
      </c>
      <c r="E83" s="7">
        <f>G81</f>
        <v>-0.15585471158452135</v>
      </c>
      <c r="F83" s="7">
        <f>G82</f>
        <v>-0.23867467127057945</v>
      </c>
      <c r="G83" s="7">
        <f>-(G68)/SQRT(G68*G68)</f>
        <v>-1</v>
      </c>
      <c r="H83" s="7">
        <f>-(H68)/SQRT(G68*H69)</f>
        <v>9.4193823888523751E-2</v>
      </c>
      <c r="I83" s="7">
        <f>-(I68)/SQRT(G68*I70)</f>
        <v>-0.10801039285519701</v>
      </c>
      <c r="J83" s="7">
        <f>-(J68)/SQRT(G68*J71)</f>
        <v>0.2165655565855461</v>
      </c>
      <c r="K83" s="7">
        <f>-(K68)/SQRT(G68*K72)</f>
        <v>0.12503165620099321</v>
      </c>
      <c r="L83" s="7">
        <f>-(L68)/SQRT(G68*L73)</f>
        <v>-0.15306435102135682</v>
      </c>
      <c r="M83" s="7">
        <f>-(M68)/SQRT(G68*M74)</f>
        <v>-0.31559827756897807</v>
      </c>
      <c r="N83" s="7">
        <f>-(N68)/SQRT(G68*N75)</f>
        <v>0.29671275018067378</v>
      </c>
    </row>
    <row r="84" spans="3:14" ht="15.75" customHeight="1" x14ac:dyDescent="0.2">
      <c r="C84" s="7">
        <f>H79</f>
        <v>0.11236470412798011</v>
      </c>
      <c r="D84" s="7">
        <f>H80</f>
        <v>-0.16724551355672584</v>
      </c>
      <c r="E84" s="7">
        <f>H81</f>
        <v>-0.22487310902660057</v>
      </c>
      <c r="F84" s="7">
        <f>H82</f>
        <v>0.19474242337634087</v>
      </c>
      <c r="G84" s="7">
        <f>H83</f>
        <v>9.4193823888523751E-2</v>
      </c>
      <c r="H84" s="7">
        <f>-(H69)/SQRT(H69*H69)</f>
        <v>-1</v>
      </c>
      <c r="I84" s="7">
        <f>-(I69)/SQRT(H69*I70)</f>
        <v>0.99755206227579019</v>
      </c>
      <c r="J84" s="7">
        <f>-(J69)/SQRT(H69*J71)</f>
        <v>-0.29071135022767941</v>
      </c>
      <c r="K84" s="7">
        <f>-(K69)/SQRT(H69*K72)</f>
        <v>0.20928175177515354</v>
      </c>
      <c r="L84" s="7">
        <f>-(L69)/SQRT(H69*L73)</f>
        <v>0.36238490007633406</v>
      </c>
      <c r="M84" s="7">
        <f>-(M69)/SQRT(H69*M74)</f>
        <v>0.31081158777889678</v>
      </c>
      <c r="N84" s="7">
        <f>-(N69)/SQRT(H69*N75)</f>
        <v>-0.111202326153271</v>
      </c>
    </row>
    <row r="85" spans="3:14" ht="15.75" customHeight="1" x14ac:dyDescent="0.2">
      <c r="C85" s="7">
        <f>I79</f>
        <v>-6.3622241111914127E-2</v>
      </c>
      <c r="D85" s="7">
        <f>I80</f>
        <v>0.1382394488538263</v>
      </c>
      <c r="E85" s="7">
        <f>I81</f>
        <v>0.24358246929300367</v>
      </c>
      <c r="F85" s="7">
        <f>I82</f>
        <v>-0.1780024501462181</v>
      </c>
      <c r="G85" s="7">
        <f>I83</f>
        <v>-0.10801039285519701</v>
      </c>
      <c r="H85" s="7">
        <f>I84</f>
        <v>0.99755206227579019</v>
      </c>
      <c r="I85" s="7">
        <f>-(I70)/SQRT(I70*I70)</f>
        <v>-1</v>
      </c>
      <c r="J85" s="7">
        <f>-(J70)/SQRT(I70*J71)</f>
        <v>0.27613371691451644</v>
      </c>
      <c r="K85" s="7">
        <f>-(K70)/SQRT(I70*K72)</f>
        <v>-0.18382691467988194</v>
      </c>
      <c r="L85" s="7">
        <f>-(L70)/SQRT(I70*L73)</f>
        <v>-0.33503328785234454</v>
      </c>
      <c r="M85" s="7">
        <f>-(M70)/SQRT(I70*M74)</f>
        <v>-0.2799390419155835</v>
      </c>
      <c r="N85" s="7">
        <f>-(N70)/SQRT(I70*N75)</f>
        <v>0.10503137077861921</v>
      </c>
    </row>
    <row r="86" spans="3:14" ht="15.75" customHeight="1" x14ac:dyDescent="0.2">
      <c r="C86" s="7">
        <f>J79</f>
        <v>0.37432843667482296</v>
      </c>
      <c r="D86" s="7">
        <f>J80</f>
        <v>-0.29594684391316417</v>
      </c>
      <c r="E86" s="7">
        <f>J81</f>
        <v>0.37778805677425514</v>
      </c>
      <c r="F86" s="7">
        <f>J82</f>
        <v>0.41135814033030166</v>
      </c>
      <c r="G86" s="7">
        <f>J83</f>
        <v>0.2165655565855461</v>
      </c>
      <c r="H86" s="7">
        <f>J84</f>
        <v>-0.29071135022767941</v>
      </c>
      <c r="I86" s="7">
        <f>J85</f>
        <v>0.27613371691451644</v>
      </c>
      <c r="J86" s="7">
        <f>-(J71)/SQRT(J71*J71)</f>
        <v>-1</v>
      </c>
      <c r="K86" s="7">
        <f>-(K71)/SQRT(J71*K72)</f>
        <v>-0.25924556905999818</v>
      </c>
      <c r="L86" s="7">
        <f>-(L71)/SQRT(J71*L73)</f>
        <v>0.11936163917142227</v>
      </c>
      <c r="M86" s="7">
        <f>-(M71)/SQRT(J71*M74)</f>
        <v>0.26743810638580057</v>
      </c>
      <c r="N86" s="7">
        <f>-(N71)/SQRT(J71*N75)</f>
        <v>-0.24136755048142983</v>
      </c>
    </row>
    <row r="87" spans="3:14" ht="15.75" customHeight="1" x14ac:dyDescent="0.2">
      <c r="C87" s="7">
        <f>K79</f>
        <v>-0.33613638311092042</v>
      </c>
      <c r="D87" s="7">
        <f>K80</f>
        <v>7.7002047568800941E-2</v>
      </c>
      <c r="E87" s="7">
        <f>K81</f>
        <v>0.2753364743025139</v>
      </c>
      <c r="F87" s="7">
        <f>K82</f>
        <v>2.5843766023336292E-2</v>
      </c>
      <c r="G87" s="7">
        <f>K83</f>
        <v>0.12503165620099321</v>
      </c>
      <c r="H87" s="7">
        <f>K84</f>
        <v>0.20928175177515354</v>
      </c>
      <c r="I87" s="7">
        <f>K85</f>
        <v>-0.18382691467988194</v>
      </c>
      <c r="J87" s="7">
        <f>K86</f>
        <v>-0.25924556905999818</v>
      </c>
      <c r="K87" s="7">
        <f>-(K72)/SQRT(K72*K72)</f>
        <v>-1</v>
      </c>
      <c r="L87" s="7">
        <f>-(L72)/SQRT(K72*L73)</f>
        <v>-0.46308636949026255</v>
      </c>
      <c r="M87" s="7">
        <f>-(M72)/SQRT(K72*M74)</f>
        <v>-0.2442642679012626</v>
      </c>
      <c r="N87" s="7">
        <f>-(N72)/SQRT(K72*N75)</f>
        <v>0.42528943077820336</v>
      </c>
    </row>
    <row r="88" spans="3:14" ht="15.75" customHeight="1" x14ac:dyDescent="0.2">
      <c r="C88" s="7">
        <f>L79</f>
        <v>-0.27402856772568579</v>
      </c>
      <c r="D88" s="7">
        <f>L80</f>
        <v>0.29844584187491763</v>
      </c>
      <c r="E88" s="7">
        <f>L81</f>
        <v>4.3737679897742264E-2</v>
      </c>
      <c r="F88" s="7">
        <f>L82</f>
        <v>-0.3515963524984288</v>
      </c>
      <c r="G88" s="7">
        <f>L83</f>
        <v>-0.15306435102135682</v>
      </c>
      <c r="H88" s="7">
        <f>L84</f>
        <v>0.36238490007633406</v>
      </c>
      <c r="I88" s="7">
        <f>L85</f>
        <v>-0.33503328785234454</v>
      </c>
      <c r="J88" s="7">
        <f>L86</f>
        <v>0.11936163917142227</v>
      </c>
      <c r="K88" s="7">
        <f>L87</f>
        <v>-0.46308636949026255</v>
      </c>
      <c r="L88" s="7">
        <f>-(L73)/SQRT(L73*L73)</f>
        <v>-1</v>
      </c>
      <c r="M88" s="7">
        <f>-(M73)/SQRT(L73*M74)</f>
        <v>-0.71894312756600298</v>
      </c>
      <c r="N88" s="7">
        <f>-(N73)/SQRT(L73*N75)</f>
        <v>0.45872323023585587</v>
      </c>
    </row>
    <row r="89" spans="3:14" ht="15.75" customHeight="1" x14ac:dyDescent="0.2">
      <c r="C89" s="7">
        <f>M79</f>
        <v>-0.25493694716579063</v>
      </c>
      <c r="D89" s="7">
        <f>M80</f>
        <v>0.48324790028756609</v>
      </c>
      <c r="E89" s="7">
        <f>M81</f>
        <v>-3.9410033350005043E-2</v>
      </c>
      <c r="F89" s="7">
        <f>M82</f>
        <v>-0.57949578904865862</v>
      </c>
      <c r="G89" s="7">
        <f>M83</f>
        <v>-0.31559827756897807</v>
      </c>
      <c r="H89" s="7">
        <f>M84</f>
        <v>0.31081158777889678</v>
      </c>
      <c r="I89" s="7">
        <f>M85</f>
        <v>-0.2799390419155835</v>
      </c>
      <c r="J89" s="7">
        <f>M86</f>
        <v>0.26743810638580057</v>
      </c>
      <c r="K89" s="7">
        <f>M87</f>
        <v>-0.2442642679012626</v>
      </c>
      <c r="L89" s="7">
        <f>M88</f>
        <v>-0.71894312756600298</v>
      </c>
      <c r="M89" s="7">
        <f>-(M74)/SQRT(M74*M74)</f>
        <v>-1</v>
      </c>
      <c r="N89" s="7">
        <f>-(N74)/SQRT(M74*N75)</f>
        <v>0.35127815369309695</v>
      </c>
    </row>
    <row r="90" spans="3:14" ht="15.75" customHeight="1" x14ac:dyDescent="0.2">
      <c r="C90" s="7">
        <f>N79</f>
        <v>0.22412059338876866</v>
      </c>
      <c r="D90" s="7">
        <f>N80</f>
        <v>-0.23577488618233777</v>
      </c>
      <c r="E90" s="7">
        <f>N81</f>
        <v>0.12316936901192166</v>
      </c>
      <c r="F90" s="7">
        <f>N82</f>
        <v>0.33457054262856778</v>
      </c>
      <c r="G90" s="7">
        <f>N83</f>
        <v>0.29671275018067378</v>
      </c>
      <c r="H90" s="7">
        <f>N84</f>
        <v>-0.111202326153271</v>
      </c>
      <c r="I90" s="7">
        <f>N85</f>
        <v>0.10503137077861921</v>
      </c>
      <c r="J90" s="7">
        <f>N86</f>
        <v>-0.24136755048142983</v>
      </c>
      <c r="K90" s="7">
        <f>N87</f>
        <v>0.42528943077820336</v>
      </c>
      <c r="L90" s="7">
        <f>N88</f>
        <v>0.45872323023585587</v>
      </c>
      <c r="M90" s="7">
        <f>N89</f>
        <v>0.35127815369309695</v>
      </c>
      <c r="N90" s="7">
        <f>-(N75)/SQRT(N75*N75)</f>
        <v>-1</v>
      </c>
    </row>
    <row r="92" spans="3:14" ht="15.75" customHeight="1" x14ac:dyDescent="0.2">
      <c r="C92" s="7" t="s">
        <v>85</v>
      </c>
    </row>
    <row r="93" spans="3:14" ht="15.75" customHeight="1" x14ac:dyDescent="0.2">
      <c r="C93" s="7">
        <f>C79^2</f>
        <v>1</v>
      </c>
      <c r="D93" s="7">
        <f t="shared" ref="D93:N93" si="0">D79^2</f>
        <v>0.2376442146066948</v>
      </c>
      <c r="E93" s="7">
        <f t="shared" si="0"/>
        <v>8.9888006528965669E-2</v>
      </c>
      <c r="F93" s="7">
        <f t="shared" si="0"/>
        <v>3.7769091118150737E-2</v>
      </c>
      <c r="G93" s="7">
        <f t="shared" si="0"/>
        <v>0.32914184576813349</v>
      </c>
      <c r="H93" s="7">
        <f t="shared" si="0"/>
        <v>1.2625826733768509E-2</v>
      </c>
      <c r="I93" s="7">
        <f t="shared" si="0"/>
        <v>4.0477895641025359E-3</v>
      </c>
      <c r="J93" s="7">
        <f t="shared" si="0"/>
        <v>0.14012177850341695</v>
      </c>
      <c r="K93" s="7">
        <f t="shared" si="0"/>
        <v>0.11298766805089147</v>
      </c>
      <c r="L93" s="7">
        <f t="shared" si="0"/>
        <v>7.5091655929790765E-2</v>
      </c>
      <c r="M93" s="7">
        <f t="shared" si="0"/>
        <v>6.4992847030213116E-2</v>
      </c>
      <c r="N93" s="7">
        <f t="shared" si="0"/>
        <v>5.0230040380933774E-2</v>
      </c>
    </row>
    <row r="94" spans="3:14" ht="15.75" customHeight="1" x14ac:dyDescent="0.2">
      <c r="C94" s="7">
        <f t="shared" ref="C94:N104" si="1">C80^2</f>
        <v>0.2376442146066948</v>
      </c>
      <c r="D94" s="7">
        <f t="shared" si="1"/>
        <v>1</v>
      </c>
      <c r="E94" s="7">
        <f t="shared" si="1"/>
        <v>4.8320513360197936E-2</v>
      </c>
      <c r="F94" s="7">
        <f t="shared" si="1"/>
        <v>0.13744904707728267</v>
      </c>
      <c r="G94" s="7">
        <f t="shared" si="1"/>
        <v>8.4869365939111933E-3</v>
      </c>
      <c r="H94" s="7">
        <f t="shared" si="1"/>
        <v>2.7971061804852967E-2</v>
      </c>
      <c r="I94" s="7">
        <f t="shared" si="1"/>
        <v>1.9110145219409659E-2</v>
      </c>
      <c r="J94" s="7">
        <f t="shared" si="1"/>
        <v>8.7584534422162755E-2</v>
      </c>
      <c r="K94" s="7">
        <f t="shared" si="1"/>
        <v>5.9293153297878829E-3</v>
      </c>
      <c r="L94" s="7">
        <f t="shared" si="1"/>
        <v>8.9069920532428334E-2</v>
      </c>
      <c r="M94" s="7">
        <f t="shared" si="1"/>
        <v>0.23352853313234143</v>
      </c>
      <c r="N94" s="7">
        <f t="shared" si="1"/>
        <v>5.5589796954294328E-2</v>
      </c>
    </row>
    <row r="95" spans="3:14" ht="15.75" customHeight="1" x14ac:dyDescent="0.2">
      <c r="C95" s="7">
        <f t="shared" si="1"/>
        <v>8.9888006528965669E-2</v>
      </c>
      <c r="D95" s="7">
        <f t="shared" si="1"/>
        <v>4.8320513360197936E-2</v>
      </c>
      <c r="E95" s="7">
        <f t="shared" si="1"/>
        <v>1</v>
      </c>
      <c r="F95" s="7">
        <f t="shared" si="1"/>
        <v>2.4598551308465218E-2</v>
      </c>
      <c r="G95" s="7">
        <f t="shared" si="1"/>
        <v>2.4290691123094336E-2</v>
      </c>
      <c r="H95" s="7">
        <f t="shared" si="1"/>
        <v>5.0567915163289387E-2</v>
      </c>
      <c r="I95" s="7">
        <f t="shared" si="1"/>
        <v>5.933241934687708E-2</v>
      </c>
      <c r="J95" s="7">
        <f t="shared" si="1"/>
        <v>0.14272381584126784</v>
      </c>
      <c r="K95" s="7">
        <f t="shared" si="1"/>
        <v>7.5810174081338902E-2</v>
      </c>
      <c r="L95" s="7">
        <f t="shared" si="1"/>
        <v>1.9129846428373677E-3</v>
      </c>
      <c r="M95" s="7">
        <f t="shared" si="1"/>
        <v>1.5531507286485097E-3</v>
      </c>
      <c r="N95" s="7">
        <f t="shared" si="1"/>
        <v>1.5170693462794928E-2</v>
      </c>
    </row>
    <row r="96" spans="3:14" ht="15.75" customHeight="1" x14ac:dyDescent="0.2">
      <c r="C96" s="7">
        <f t="shared" si="1"/>
        <v>3.7769091118150737E-2</v>
      </c>
      <c r="D96" s="7">
        <f t="shared" si="1"/>
        <v>0.13744904707728267</v>
      </c>
      <c r="E96" s="7">
        <f t="shared" si="1"/>
        <v>2.4598551308465218E-2</v>
      </c>
      <c r="F96" s="7">
        <f t="shared" si="1"/>
        <v>1</v>
      </c>
      <c r="G96" s="7">
        <f t="shared" si="1"/>
        <v>5.6965598706119162E-2</v>
      </c>
      <c r="H96" s="7">
        <f t="shared" si="1"/>
        <v>3.7924611462489995E-2</v>
      </c>
      <c r="I96" s="7">
        <f t="shared" si="1"/>
        <v>3.1684872258056863E-2</v>
      </c>
      <c r="J96" s="7">
        <f t="shared" si="1"/>
        <v>0.16921551961600415</v>
      </c>
      <c r="K96" s="7">
        <f t="shared" si="1"/>
        <v>6.6790024226895135E-4</v>
      </c>
      <c r="L96" s="7">
        <f t="shared" si="1"/>
        <v>0.1236199950901994</v>
      </c>
      <c r="M96" s="7">
        <f t="shared" si="1"/>
        <v>0.33581536952512747</v>
      </c>
      <c r="N96" s="7">
        <f t="shared" si="1"/>
        <v>0.11193744799477429</v>
      </c>
    </row>
    <row r="97" spans="3:14" ht="15.75" customHeight="1" x14ac:dyDescent="0.2">
      <c r="C97" s="7">
        <f t="shared" si="1"/>
        <v>0.32914184576813349</v>
      </c>
      <c r="D97" s="7">
        <f t="shared" si="1"/>
        <v>8.4869365939111933E-3</v>
      </c>
      <c r="E97" s="7">
        <f t="shared" si="1"/>
        <v>2.4290691123094336E-2</v>
      </c>
      <c r="F97" s="7">
        <f t="shared" si="1"/>
        <v>5.6965598706119162E-2</v>
      </c>
      <c r="G97" s="7">
        <f t="shared" si="1"/>
        <v>1</v>
      </c>
      <c r="H97" s="7">
        <f t="shared" si="1"/>
        <v>8.8724764587422272E-3</v>
      </c>
      <c r="I97" s="7">
        <f t="shared" si="1"/>
        <v>1.1666244964733993E-2</v>
      </c>
      <c r="J97" s="7">
        <f t="shared" si="1"/>
        <v>4.6900640299207375E-2</v>
      </c>
      <c r="K97" s="7">
        <f t="shared" si="1"/>
        <v>1.5632915052363364E-2</v>
      </c>
      <c r="L97" s="7">
        <f t="shared" si="1"/>
        <v>2.3428695553589136E-2</v>
      </c>
      <c r="M97" s="7">
        <f t="shared" si="1"/>
        <v>9.9602272804505732E-2</v>
      </c>
      <c r="N97" s="7">
        <f t="shared" si="1"/>
        <v>8.8038456119778924E-2</v>
      </c>
    </row>
    <row r="98" spans="3:14" ht="15.75" customHeight="1" x14ac:dyDescent="0.2">
      <c r="C98" s="7">
        <f t="shared" si="1"/>
        <v>1.2625826733768509E-2</v>
      </c>
      <c r="D98" s="7">
        <f t="shared" si="1"/>
        <v>2.7971061804852967E-2</v>
      </c>
      <c r="E98" s="7">
        <f t="shared" si="1"/>
        <v>5.0567915163289387E-2</v>
      </c>
      <c r="F98" s="7">
        <f t="shared" si="1"/>
        <v>3.7924611462489995E-2</v>
      </c>
      <c r="G98" s="7">
        <f t="shared" si="1"/>
        <v>8.8724764587422272E-3</v>
      </c>
      <c r="H98" s="7">
        <f t="shared" si="1"/>
        <v>1</v>
      </c>
      <c r="I98" s="7">
        <f t="shared" si="1"/>
        <v>0.99511011695068197</v>
      </c>
      <c r="J98" s="7">
        <f t="shared" si="1"/>
        <v>8.4513089151200482E-2</v>
      </c>
      <c r="K98" s="7">
        <f t="shared" si="1"/>
        <v>4.3798851626076982E-2</v>
      </c>
      <c r="L98" s="7">
        <f t="shared" si="1"/>
        <v>0.13132281580333463</v>
      </c>
      <c r="M98" s="7">
        <f t="shared" si="1"/>
        <v>9.6603843097638864E-2</v>
      </c>
      <c r="N98" s="7">
        <f t="shared" si="1"/>
        <v>1.236595734189846E-2</v>
      </c>
    </row>
    <row r="99" spans="3:14" ht="15.75" customHeight="1" x14ac:dyDescent="0.2">
      <c r="C99" s="7">
        <f t="shared" si="1"/>
        <v>4.0477895641025359E-3</v>
      </c>
      <c r="D99" s="7">
        <f t="shared" si="1"/>
        <v>1.9110145219409659E-2</v>
      </c>
      <c r="E99" s="7">
        <f t="shared" si="1"/>
        <v>5.933241934687708E-2</v>
      </c>
      <c r="F99" s="7">
        <f t="shared" si="1"/>
        <v>3.1684872258056863E-2</v>
      </c>
      <c r="G99" s="7">
        <f t="shared" si="1"/>
        <v>1.1666244964733993E-2</v>
      </c>
      <c r="H99" s="7">
        <f t="shared" si="1"/>
        <v>0.99511011695068197</v>
      </c>
      <c r="I99" s="7">
        <f t="shared" si="1"/>
        <v>1</v>
      </c>
      <c r="J99" s="7">
        <f t="shared" si="1"/>
        <v>7.6249829617026296E-2</v>
      </c>
      <c r="K99" s="7">
        <f t="shared" si="1"/>
        <v>3.3792334560724592E-2</v>
      </c>
      <c r="L99" s="7">
        <f t="shared" si="1"/>
        <v>0.11224730396915196</v>
      </c>
      <c r="M99" s="7">
        <f t="shared" si="1"/>
        <v>7.836586718861481E-2</v>
      </c>
      <c r="N99" s="7">
        <f t="shared" si="1"/>
        <v>1.1031588847635785E-2</v>
      </c>
    </row>
    <row r="100" spans="3:14" ht="15.75" customHeight="1" x14ac:dyDescent="0.2">
      <c r="C100" s="7">
        <f t="shared" si="1"/>
        <v>0.14012177850341695</v>
      </c>
      <c r="D100" s="7">
        <f t="shared" si="1"/>
        <v>8.7584534422162755E-2</v>
      </c>
      <c r="E100" s="7">
        <f t="shared" si="1"/>
        <v>0.14272381584126784</v>
      </c>
      <c r="F100" s="7">
        <f t="shared" si="1"/>
        <v>0.16921551961600415</v>
      </c>
      <c r="G100" s="7">
        <f t="shared" si="1"/>
        <v>4.6900640299207375E-2</v>
      </c>
      <c r="H100" s="7">
        <f t="shared" si="1"/>
        <v>8.4513089151200482E-2</v>
      </c>
      <c r="I100" s="7">
        <f t="shared" si="1"/>
        <v>7.6249829617026296E-2</v>
      </c>
      <c r="J100" s="7">
        <f t="shared" si="1"/>
        <v>1</v>
      </c>
      <c r="K100" s="7">
        <f t="shared" si="1"/>
        <v>6.7208265077242285E-2</v>
      </c>
      <c r="L100" s="7">
        <f t="shared" si="1"/>
        <v>1.4247200905688807E-2</v>
      </c>
      <c r="M100" s="7">
        <f t="shared" si="1"/>
        <v>7.1523140747222783E-2</v>
      </c>
      <c r="N100" s="7">
        <f t="shared" si="1"/>
        <v>5.8258294425405574E-2</v>
      </c>
    </row>
    <row r="101" spans="3:14" ht="15.75" customHeight="1" x14ac:dyDescent="0.2">
      <c r="C101" s="7">
        <f t="shared" si="1"/>
        <v>0.11298766805089147</v>
      </c>
      <c r="D101" s="7">
        <f t="shared" si="1"/>
        <v>5.9293153297878829E-3</v>
      </c>
      <c r="E101" s="7">
        <f t="shared" si="1"/>
        <v>7.5810174081338902E-2</v>
      </c>
      <c r="F101" s="7">
        <f t="shared" si="1"/>
        <v>6.6790024226895135E-4</v>
      </c>
      <c r="G101" s="7">
        <f t="shared" si="1"/>
        <v>1.5632915052363364E-2</v>
      </c>
      <c r="H101" s="7">
        <f t="shared" si="1"/>
        <v>4.3798851626076982E-2</v>
      </c>
      <c r="I101" s="7">
        <f t="shared" si="1"/>
        <v>3.3792334560724592E-2</v>
      </c>
      <c r="J101" s="7">
        <f t="shared" si="1"/>
        <v>6.7208265077242285E-2</v>
      </c>
      <c r="K101" s="7">
        <f t="shared" si="1"/>
        <v>1</v>
      </c>
      <c r="L101" s="7">
        <f t="shared" si="1"/>
        <v>0.21444898560767198</v>
      </c>
      <c r="M101" s="7">
        <f t="shared" si="1"/>
        <v>5.9665032573339785E-2</v>
      </c>
      <c r="N101" s="7">
        <f t="shared" si="1"/>
        <v>0.18087109993164824</v>
      </c>
    </row>
    <row r="102" spans="3:14" ht="15.75" customHeight="1" x14ac:dyDescent="0.2">
      <c r="C102" s="7">
        <f t="shared" si="1"/>
        <v>7.5091655929790765E-2</v>
      </c>
      <c r="D102" s="7">
        <f t="shared" si="1"/>
        <v>8.9069920532428334E-2</v>
      </c>
      <c r="E102" s="7">
        <f t="shared" si="1"/>
        <v>1.9129846428373677E-3</v>
      </c>
      <c r="F102" s="7">
        <f t="shared" si="1"/>
        <v>0.1236199950901994</v>
      </c>
      <c r="G102" s="7">
        <f t="shared" si="1"/>
        <v>2.3428695553589136E-2</v>
      </c>
      <c r="H102" s="7">
        <f t="shared" si="1"/>
        <v>0.13132281580333463</v>
      </c>
      <c r="I102" s="7">
        <f t="shared" si="1"/>
        <v>0.11224730396915196</v>
      </c>
      <c r="J102" s="7">
        <f t="shared" si="1"/>
        <v>1.4247200905688807E-2</v>
      </c>
      <c r="K102" s="7">
        <f t="shared" si="1"/>
        <v>0.21444898560767198</v>
      </c>
      <c r="L102" s="7">
        <f t="shared" si="1"/>
        <v>1</v>
      </c>
      <c r="M102" s="7">
        <f t="shared" si="1"/>
        <v>0.51687922067438608</v>
      </c>
      <c r="N102" s="7">
        <f t="shared" si="1"/>
        <v>0.21042700195801803</v>
      </c>
    </row>
    <row r="103" spans="3:14" ht="15.75" customHeight="1" x14ac:dyDescent="0.2">
      <c r="C103" s="7">
        <f t="shared" si="1"/>
        <v>6.4992847030213116E-2</v>
      </c>
      <c r="D103" s="7">
        <f t="shared" si="1"/>
        <v>0.23352853313234143</v>
      </c>
      <c r="E103" s="7">
        <f t="shared" si="1"/>
        <v>1.5531507286485097E-3</v>
      </c>
      <c r="F103" s="7">
        <f t="shared" si="1"/>
        <v>0.33581536952512747</v>
      </c>
      <c r="G103" s="7">
        <f t="shared" si="1"/>
        <v>9.9602272804505732E-2</v>
      </c>
      <c r="H103" s="7">
        <f t="shared" si="1"/>
        <v>9.6603843097638864E-2</v>
      </c>
      <c r="I103" s="7">
        <f t="shared" si="1"/>
        <v>7.836586718861481E-2</v>
      </c>
      <c r="J103" s="7">
        <f t="shared" si="1"/>
        <v>7.1523140747222783E-2</v>
      </c>
      <c r="K103" s="7">
        <f t="shared" si="1"/>
        <v>5.9665032573339785E-2</v>
      </c>
      <c r="L103" s="7">
        <f t="shared" si="1"/>
        <v>0.51687922067438608</v>
      </c>
      <c r="M103" s="7">
        <f t="shared" si="1"/>
        <v>1</v>
      </c>
      <c r="N103" s="7">
        <f t="shared" si="1"/>
        <v>0.12339634126203104</v>
      </c>
    </row>
    <row r="104" spans="3:14" ht="15.75" customHeight="1" x14ac:dyDescent="0.2">
      <c r="C104" s="7">
        <f t="shared" si="1"/>
        <v>5.0230040380933774E-2</v>
      </c>
      <c r="D104" s="7">
        <f t="shared" si="1"/>
        <v>5.5589796954294328E-2</v>
      </c>
      <c r="E104" s="7">
        <f t="shared" si="1"/>
        <v>1.5170693462794928E-2</v>
      </c>
      <c r="F104" s="7">
        <f t="shared" si="1"/>
        <v>0.11193744799477429</v>
      </c>
      <c r="G104" s="7">
        <f t="shared" si="1"/>
        <v>8.8038456119778924E-2</v>
      </c>
      <c r="H104" s="7">
        <f t="shared" si="1"/>
        <v>1.236595734189846E-2</v>
      </c>
      <c r="I104" s="7">
        <f t="shared" si="1"/>
        <v>1.1031588847635785E-2</v>
      </c>
      <c r="J104" s="7">
        <f t="shared" si="1"/>
        <v>5.8258294425405574E-2</v>
      </c>
      <c r="K104" s="7">
        <f t="shared" si="1"/>
        <v>0.18087109993164824</v>
      </c>
      <c r="L104" s="7">
        <f t="shared" si="1"/>
        <v>0.21042700195801803</v>
      </c>
      <c r="M104" s="7">
        <f t="shared" si="1"/>
        <v>0.12339634126203104</v>
      </c>
      <c r="N104" s="7">
        <f t="shared" si="1"/>
        <v>1</v>
      </c>
    </row>
    <row r="106" spans="3:14" ht="15.75" customHeight="1" x14ac:dyDescent="0.2">
      <c r="C106" s="7" t="s">
        <v>86</v>
      </c>
      <c r="D106" s="7">
        <f>SUM(C93:N104)-12</f>
        <v>13.235680323609888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57"/>
  <sheetViews>
    <sheetView topLeftCell="S1" workbookViewId="0">
      <selection activeCell="O1" sqref="O1:O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67</v>
      </c>
    </row>
    <row r="2" spans="1:15" ht="15.75" customHeight="1" x14ac:dyDescent="0.25">
      <c r="A2" s="3" t="s">
        <v>14</v>
      </c>
      <c r="B2" s="3" t="s">
        <v>15</v>
      </c>
      <c r="C2" s="4">
        <v>72.790000000000006</v>
      </c>
      <c r="D2" s="4">
        <v>93.69</v>
      </c>
      <c r="E2" s="6">
        <v>14.11</v>
      </c>
      <c r="F2" s="6">
        <v>3586.89</v>
      </c>
      <c r="G2" s="6">
        <v>9.02</v>
      </c>
      <c r="H2" s="4">
        <v>67.02</v>
      </c>
      <c r="I2" s="4">
        <v>71.27</v>
      </c>
      <c r="J2" s="4">
        <v>701088</v>
      </c>
      <c r="K2" s="4">
        <v>3.91</v>
      </c>
      <c r="L2" s="7">
        <v>8.4700000000000006</v>
      </c>
      <c r="M2" s="7">
        <v>67.680000000000007</v>
      </c>
      <c r="N2" s="1">
        <v>0.21099999999999999</v>
      </c>
      <c r="O2" s="10">
        <v>28262</v>
      </c>
    </row>
    <row r="3" spans="1:15" ht="15.75" customHeight="1" x14ac:dyDescent="0.25">
      <c r="A3" s="3" t="s">
        <v>14</v>
      </c>
      <c r="B3" s="3" t="s">
        <v>16</v>
      </c>
      <c r="C3" s="4">
        <v>85.21</v>
      </c>
      <c r="D3" s="4">
        <v>96.48</v>
      </c>
      <c r="E3" s="6">
        <v>3.52</v>
      </c>
      <c r="F3" s="6">
        <v>451772.7</v>
      </c>
      <c r="G3" s="6">
        <v>11.66</v>
      </c>
      <c r="H3" s="4">
        <v>72.599999999999994</v>
      </c>
      <c r="I3" s="4">
        <v>76.510000000000005</v>
      </c>
      <c r="J3" s="4">
        <v>842630</v>
      </c>
      <c r="K3" s="4">
        <v>2.5099999999999998</v>
      </c>
      <c r="L3" s="7">
        <v>5.63</v>
      </c>
      <c r="M3" s="7">
        <v>63.07</v>
      </c>
      <c r="N3" s="1">
        <v>0.377</v>
      </c>
      <c r="O3" s="10">
        <v>2234262</v>
      </c>
    </row>
    <row r="4" spans="1:15" ht="15.75" customHeight="1" x14ac:dyDescent="0.25">
      <c r="A4" s="3" t="s">
        <v>14</v>
      </c>
      <c r="B4" s="3" t="s">
        <v>17</v>
      </c>
      <c r="C4" s="4">
        <v>83.45</v>
      </c>
      <c r="D4" s="4">
        <v>95.92</v>
      </c>
      <c r="E4" s="5">
        <v>4.3</v>
      </c>
      <c r="F4" s="6">
        <v>329546.3</v>
      </c>
      <c r="G4" s="6">
        <v>11.73</v>
      </c>
      <c r="H4" s="4">
        <v>72.98</v>
      </c>
      <c r="I4" s="4">
        <v>76.63</v>
      </c>
      <c r="J4" s="4">
        <v>630842</v>
      </c>
      <c r="K4" s="4">
        <v>3.71</v>
      </c>
      <c r="L4" s="7">
        <v>8.39</v>
      </c>
      <c r="M4" s="7">
        <v>61.26</v>
      </c>
      <c r="N4" s="1">
        <v>0.374</v>
      </c>
      <c r="O4" s="10">
        <v>3066074</v>
      </c>
    </row>
    <row r="5" spans="1:15" ht="15.75" customHeight="1" x14ac:dyDescent="0.25">
      <c r="A5" s="3" t="s">
        <v>14</v>
      </c>
      <c r="B5" s="3" t="s">
        <v>18</v>
      </c>
      <c r="C5" s="4">
        <v>82.11</v>
      </c>
      <c r="D5" s="4">
        <v>96.41</v>
      </c>
      <c r="E5" s="6">
        <v>4.9000000000000004</v>
      </c>
      <c r="F5" s="6">
        <v>481954.5</v>
      </c>
      <c r="G5" s="6">
        <v>11.53</v>
      </c>
      <c r="H5" s="4">
        <v>72.55</v>
      </c>
      <c r="I5" s="4">
        <v>76.39</v>
      </c>
      <c r="J5" s="4">
        <v>733176</v>
      </c>
      <c r="K5" s="4">
        <v>3.82</v>
      </c>
      <c r="L5" s="7">
        <v>5.88</v>
      </c>
      <c r="M5" s="7">
        <v>63.6</v>
      </c>
      <c r="N5" s="1">
        <v>0.34300000000000003</v>
      </c>
      <c r="O5" s="10">
        <v>1053482</v>
      </c>
    </row>
    <row r="6" spans="1:15" ht="15.75" customHeight="1" x14ac:dyDescent="0.25">
      <c r="A6" s="3" t="s">
        <v>14</v>
      </c>
      <c r="B6" s="3" t="s">
        <v>19</v>
      </c>
      <c r="C6" s="4">
        <v>82.51</v>
      </c>
      <c r="D6" s="4">
        <v>95.39</v>
      </c>
      <c r="E6" s="6">
        <v>4.22</v>
      </c>
      <c r="F6" s="6">
        <v>345619.6</v>
      </c>
      <c r="G6" s="6">
        <v>11.13</v>
      </c>
      <c r="H6" s="4">
        <v>71.97</v>
      </c>
      <c r="I6" s="4">
        <v>75.650000000000006</v>
      </c>
      <c r="J6" s="4">
        <v>599514</v>
      </c>
      <c r="K6" s="4">
        <v>2.8</v>
      </c>
      <c r="L6" s="7">
        <v>7.1</v>
      </c>
      <c r="M6" s="7">
        <v>63.97</v>
      </c>
      <c r="N6" s="1">
        <v>0.42199999999999999</v>
      </c>
      <c r="O6" s="10">
        <v>2458707</v>
      </c>
    </row>
    <row r="7" spans="1:15" ht="15.75" customHeight="1" x14ac:dyDescent="0.25">
      <c r="A7" s="3" t="s">
        <v>14</v>
      </c>
      <c r="B7" s="3" t="s">
        <v>20</v>
      </c>
      <c r="C7" s="4">
        <v>80.81</v>
      </c>
      <c r="D7" s="4">
        <v>93.84</v>
      </c>
      <c r="E7" s="6">
        <v>7.24</v>
      </c>
      <c r="F7" s="6">
        <v>350233.7</v>
      </c>
      <c r="G7" s="6">
        <v>10.82</v>
      </c>
      <c r="H7" s="4">
        <v>71.58</v>
      </c>
      <c r="I7" s="4">
        <v>75.41</v>
      </c>
      <c r="J7" s="4">
        <v>645431</v>
      </c>
      <c r="K7" s="4">
        <v>4.78</v>
      </c>
      <c r="L7" s="7">
        <v>8.0399999999999991</v>
      </c>
      <c r="M7" s="7">
        <v>64.34</v>
      </c>
      <c r="N7" s="1">
        <v>0.54300000000000004</v>
      </c>
      <c r="O7" s="10">
        <v>1799220</v>
      </c>
    </row>
    <row r="8" spans="1:15" ht="15.75" customHeight="1" x14ac:dyDescent="0.25">
      <c r="A8" s="3" t="s">
        <v>21</v>
      </c>
      <c r="B8" s="3" t="s">
        <v>22</v>
      </c>
      <c r="C8" s="4">
        <v>71.2</v>
      </c>
      <c r="D8" s="4">
        <v>89.95</v>
      </c>
      <c r="E8" s="6">
        <v>7.73</v>
      </c>
      <c r="F8" s="6">
        <v>167966.2</v>
      </c>
      <c r="G8" s="6">
        <v>8.34</v>
      </c>
      <c r="H8" s="4">
        <v>69.72</v>
      </c>
      <c r="I8" s="4">
        <v>73.540000000000006</v>
      </c>
      <c r="J8" s="4">
        <v>443787</v>
      </c>
      <c r="K8" s="4">
        <v>7.03</v>
      </c>
      <c r="L8" s="7">
        <v>10.64</v>
      </c>
      <c r="M8" s="7">
        <v>63.75</v>
      </c>
      <c r="N8" s="1">
        <v>0.4</v>
      </c>
      <c r="O8" s="10">
        <v>5556310</v>
      </c>
    </row>
    <row r="9" spans="1:15" ht="15.75" customHeight="1" x14ac:dyDescent="0.25">
      <c r="A9" s="3" t="s">
        <v>21</v>
      </c>
      <c r="B9" s="3" t="s">
        <v>23</v>
      </c>
      <c r="C9" s="4">
        <v>67.64</v>
      </c>
      <c r="D9" s="4">
        <v>87.64</v>
      </c>
      <c r="E9" s="6">
        <v>7.34</v>
      </c>
      <c r="F9" s="6">
        <v>50388.72</v>
      </c>
      <c r="G9" s="6">
        <v>7.11</v>
      </c>
      <c r="H9" s="4">
        <v>69.53</v>
      </c>
      <c r="I9" s="4">
        <v>73.47</v>
      </c>
      <c r="J9" s="4">
        <v>357636</v>
      </c>
      <c r="K9" s="4">
        <v>7.42</v>
      </c>
      <c r="L9" s="7">
        <v>7.77</v>
      </c>
      <c r="M9" s="7">
        <v>69.11</v>
      </c>
      <c r="N9" s="1">
        <v>0.309</v>
      </c>
      <c r="O9" s="10">
        <v>2775310</v>
      </c>
    </row>
    <row r="10" spans="1:15" ht="15.75" customHeight="1" x14ac:dyDescent="0.25">
      <c r="A10" s="3" t="s">
        <v>21</v>
      </c>
      <c r="B10" s="3" t="s">
        <v>24</v>
      </c>
      <c r="C10" s="4">
        <v>65.94</v>
      </c>
      <c r="D10" s="4">
        <v>84.9</v>
      </c>
      <c r="E10" s="6">
        <v>10.55</v>
      </c>
      <c r="F10" s="6">
        <v>34556.400000000001</v>
      </c>
      <c r="G10" s="6">
        <v>7.2</v>
      </c>
      <c r="H10" s="4">
        <v>68.62</v>
      </c>
      <c r="I10" s="4">
        <v>72.5</v>
      </c>
      <c r="J10" s="4">
        <v>406829</v>
      </c>
      <c r="K10" s="4">
        <v>9.5399999999999991</v>
      </c>
      <c r="L10" s="7">
        <v>8.41</v>
      </c>
      <c r="M10" s="7">
        <v>69.98</v>
      </c>
      <c r="N10" s="1">
        <v>0.313</v>
      </c>
      <c r="O10" s="10">
        <v>2529810</v>
      </c>
    </row>
    <row r="11" spans="1:15" ht="15.75" customHeight="1" x14ac:dyDescent="0.25">
      <c r="A11" s="3" t="s">
        <v>21</v>
      </c>
      <c r="B11" s="3" t="s">
        <v>25</v>
      </c>
      <c r="C11" s="4">
        <v>73.16</v>
      </c>
      <c r="D11" s="4">
        <v>93.97</v>
      </c>
      <c r="E11" s="6">
        <v>6.8</v>
      </c>
      <c r="F11" s="6">
        <v>88437.96</v>
      </c>
      <c r="G11" s="6">
        <v>9.08</v>
      </c>
      <c r="H11" s="4">
        <v>72.14</v>
      </c>
      <c r="I11" s="4">
        <v>75.81</v>
      </c>
      <c r="J11" s="4">
        <v>398884</v>
      </c>
      <c r="K11" s="4">
        <v>8.3000000000000007</v>
      </c>
      <c r="L11" s="7">
        <v>6.98</v>
      </c>
      <c r="M11" s="7">
        <v>63.64</v>
      </c>
      <c r="N11" s="1">
        <v>0.37</v>
      </c>
      <c r="O11" s="10">
        <v>3687250</v>
      </c>
    </row>
    <row r="12" spans="1:15" ht="15.75" customHeight="1" x14ac:dyDescent="0.25">
      <c r="A12" s="3" t="s">
        <v>21</v>
      </c>
      <c r="B12" s="3" t="s">
        <v>26</v>
      </c>
      <c r="C12" s="4">
        <v>67.41</v>
      </c>
      <c r="D12" s="4">
        <v>82.78</v>
      </c>
      <c r="E12" s="6">
        <v>10.42</v>
      </c>
      <c r="F12" s="6">
        <v>42012.959999999999</v>
      </c>
      <c r="G12" s="6">
        <v>7.83</v>
      </c>
      <c r="H12" s="4">
        <v>69.739999999999995</v>
      </c>
      <c r="I12" s="4">
        <v>73.739999999999995</v>
      </c>
      <c r="J12" s="4">
        <v>335134</v>
      </c>
      <c r="K12" s="4">
        <v>7.74</v>
      </c>
      <c r="L12" s="7">
        <v>7.6</v>
      </c>
      <c r="M12" s="7">
        <v>68.84</v>
      </c>
      <c r="N12" s="1">
        <v>0.30199999999999999</v>
      </c>
      <c r="O12" s="10">
        <v>2648950</v>
      </c>
    </row>
    <row r="13" spans="1:15" ht="15.75" customHeight="1" x14ac:dyDescent="0.25">
      <c r="A13" s="3" t="s">
        <v>21</v>
      </c>
      <c r="B13" s="3" t="s">
        <v>27</v>
      </c>
      <c r="C13" s="4">
        <v>66.84</v>
      </c>
      <c r="D13" s="4">
        <v>86.64</v>
      </c>
      <c r="E13" s="6">
        <v>10.73</v>
      </c>
      <c r="F13" s="6">
        <v>26361.66</v>
      </c>
      <c r="G13" s="6">
        <v>7.73</v>
      </c>
      <c r="H13" s="4">
        <v>67.97</v>
      </c>
      <c r="I13" s="4">
        <v>71.88</v>
      </c>
      <c r="J13" s="4">
        <v>347917</v>
      </c>
      <c r="K13" s="4">
        <v>10.45</v>
      </c>
      <c r="L13" s="7">
        <v>4.17</v>
      </c>
      <c r="M13" s="7">
        <v>67.83</v>
      </c>
      <c r="N13" s="1">
        <v>0.378</v>
      </c>
      <c r="O13" s="10">
        <v>1892220</v>
      </c>
    </row>
    <row r="14" spans="1:15" ht="15.75" customHeight="1" x14ac:dyDescent="0.25">
      <c r="A14" s="3" t="s">
        <v>21</v>
      </c>
      <c r="B14" s="3" t="s">
        <v>28</v>
      </c>
      <c r="C14" s="4">
        <v>71.45</v>
      </c>
      <c r="D14" s="4">
        <v>87.04</v>
      </c>
      <c r="E14" s="6">
        <v>7.72</v>
      </c>
      <c r="F14" s="6">
        <v>23918.89</v>
      </c>
      <c r="G14" s="5">
        <v>8</v>
      </c>
      <c r="H14" s="4">
        <v>70.39</v>
      </c>
      <c r="I14" s="4">
        <v>74.2</v>
      </c>
      <c r="J14" s="4">
        <v>405294</v>
      </c>
      <c r="K14" s="4">
        <v>6.74</v>
      </c>
      <c r="L14" s="7">
        <v>3.75</v>
      </c>
      <c r="M14" s="7">
        <v>68.47</v>
      </c>
      <c r="N14" s="1">
        <v>0.33700000000000002</v>
      </c>
      <c r="O14" s="10">
        <v>1243320</v>
      </c>
    </row>
    <row r="15" spans="1:15" ht="15.75" customHeight="1" x14ac:dyDescent="0.25">
      <c r="A15" s="3" t="s">
        <v>21</v>
      </c>
      <c r="B15" s="3" t="s">
        <v>29</v>
      </c>
      <c r="C15" s="4">
        <v>70.16</v>
      </c>
      <c r="D15" s="4">
        <v>87.17</v>
      </c>
      <c r="E15" s="6">
        <v>12.76</v>
      </c>
      <c r="F15" s="6">
        <v>18450.34</v>
      </c>
      <c r="G15" s="6">
        <v>7.88</v>
      </c>
      <c r="H15" s="4">
        <v>72.180000000000007</v>
      </c>
      <c r="I15" s="4">
        <v>75.87</v>
      </c>
      <c r="J15" s="4">
        <v>371665</v>
      </c>
      <c r="K15" s="4">
        <v>6.63</v>
      </c>
      <c r="L15" s="7">
        <v>9.81</v>
      </c>
      <c r="M15" s="7">
        <v>61.8</v>
      </c>
      <c r="N15" s="1">
        <v>0.34499999999999997</v>
      </c>
      <c r="O15" s="10">
        <v>1189010</v>
      </c>
    </row>
    <row r="16" spans="1:15" ht="15.75" customHeight="1" x14ac:dyDescent="0.25">
      <c r="A16" s="3" t="s">
        <v>21</v>
      </c>
      <c r="B16" s="3" t="s">
        <v>30</v>
      </c>
      <c r="C16" s="4">
        <v>70.06</v>
      </c>
      <c r="D16" s="4">
        <v>84.01</v>
      </c>
      <c r="E16" s="6">
        <v>12.01</v>
      </c>
      <c r="F16" s="6">
        <v>35523.78</v>
      </c>
      <c r="G16" s="6">
        <v>7.4</v>
      </c>
      <c r="H16" s="4">
        <v>70.540000000000006</v>
      </c>
      <c r="I16" s="4">
        <v>74.37</v>
      </c>
      <c r="J16" s="4">
        <v>416914</v>
      </c>
      <c r="K16" s="4">
        <v>9.0399999999999991</v>
      </c>
      <c r="L16" s="7">
        <v>8.11</v>
      </c>
      <c r="M16" s="7">
        <v>65.53</v>
      </c>
      <c r="N16" s="1">
        <v>0.35499999999999998</v>
      </c>
      <c r="O16" s="10">
        <v>2331360</v>
      </c>
    </row>
    <row r="17" spans="1:15" ht="15.75" customHeight="1" x14ac:dyDescent="0.25">
      <c r="A17" s="3" t="s">
        <v>21</v>
      </c>
      <c r="B17" s="3" t="s">
        <v>31</v>
      </c>
      <c r="C17" s="4">
        <v>68.56</v>
      </c>
      <c r="D17" s="4">
        <v>86.69</v>
      </c>
      <c r="E17" s="6">
        <v>11.94</v>
      </c>
      <c r="F17" s="6">
        <v>24298.1</v>
      </c>
      <c r="G17" s="6">
        <v>7.49</v>
      </c>
      <c r="H17" s="4">
        <v>68.790000000000006</v>
      </c>
      <c r="I17" s="4">
        <v>72.680000000000007</v>
      </c>
      <c r="J17" s="4">
        <v>483319</v>
      </c>
      <c r="K17" s="4">
        <v>9.8800000000000008</v>
      </c>
      <c r="L17" s="7">
        <v>4.16</v>
      </c>
      <c r="M17" s="7">
        <v>66.209999999999994</v>
      </c>
      <c r="N17" s="1">
        <v>0.36699999999999999</v>
      </c>
      <c r="O17" s="10">
        <v>1328010</v>
      </c>
    </row>
    <row r="18" spans="1:15" ht="15.75" customHeight="1" x14ac:dyDescent="0.25">
      <c r="A18" s="3" t="s">
        <v>21</v>
      </c>
      <c r="B18" s="3" t="s">
        <v>32</v>
      </c>
      <c r="C18" s="4">
        <v>72.69</v>
      </c>
      <c r="D18" s="4">
        <v>95.09</v>
      </c>
      <c r="E18" s="6">
        <v>10.14</v>
      </c>
      <c r="F18" s="6">
        <v>25595.02</v>
      </c>
      <c r="G18" s="6">
        <v>8.7200000000000006</v>
      </c>
      <c r="H18" s="4">
        <v>70.95</v>
      </c>
      <c r="I18" s="4">
        <v>74.78</v>
      </c>
      <c r="J18" s="4">
        <v>371870</v>
      </c>
      <c r="K18" s="4">
        <v>7.43</v>
      </c>
      <c r="L18" s="7">
        <v>7.72</v>
      </c>
      <c r="M18" s="7">
        <v>64.63</v>
      </c>
      <c r="N18" s="1">
        <v>0.39400000000000002</v>
      </c>
      <c r="O18" s="10">
        <v>1168840</v>
      </c>
    </row>
    <row r="19" spans="1:15" ht="15.75" customHeight="1" x14ac:dyDescent="0.25">
      <c r="A19" s="3" t="s">
        <v>21</v>
      </c>
      <c r="B19" s="3" t="s">
        <v>33</v>
      </c>
      <c r="C19" s="4">
        <v>68.55</v>
      </c>
      <c r="D19" s="4">
        <v>88.17</v>
      </c>
      <c r="E19" s="6">
        <v>12.77</v>
      </c>
      <c r="F19" s="6">
        <v>61259.61</v>
      </c>
      <c r="G19" s="6">
        <v>6.83</v>
      </c>
      <c r="H19" s="4">
        <v>70.239999999999995</v>
      </c>
      <c r="I19" s="4">
        <v>74.040000000000006</v>
      </c>
      <c r="J19" s="4">
        <v>499805</v>
      </c>
      <c r="K19" s="4">
        <v>5.99</v>
      </c>
      <c r="L19" s="7">
        <v>6.49</v>
      </c>
      <c r="M19" s="7">
        <v>69.08</v>
      </c>
      <c r="N19" s="1">
        <v>0.3</v>
      </c>
      <c r="O19" s="10">
        <v>1873400</v>
      </c>
    </row>
    <row r="20" spans="1:15" ht="15.75" customHeight="1" x14ac:dyDescent="0.25">
      <c r="A20" s="3" t="s">
        <v>21</v>
      </c>
      <c r="B20" s="3" t="s">
        <v>34</v>
      </c>
      <c r="C20" s="4">
        <v>69.87</v>
      </c>
      <c r="D20" s="4">
        <v>90.95</v>
      </c>
      <c r="E20" s="6">
        <v>9.75</v>
      </c>
      <c r="F20" s="6">
        <v>30202.58</v>
      </c>
      <c r="G20" s="6">
        <v>7.2</v>
      </c>
      <c r="H20" s="4">
        <v>71.03</v>
      </c>
      <c r="I20" s="4">
        <v>74.790000000000006</v>
      </c>
      <c r="J20" s="4">
        <v>372308</v>
      </c>
      <c r="K20" s="4">
        <v>7.06</v>
      </c>
      <c r="L20" s="7">
        <v>7.77</v>
      </c>
      <c r="M20" s="7">
        <v>68.87</v>
      </c>
      <c r="N20" s="1">
        <v>0.36</v>
      </c>
      <c r="O20" s="10">
        <v>1635560</v>
      </c>
    </row>
    <row r="21" spans="1:15" ht="15.75" customHeight="1" x14ac:dyDescent="0.25">
      <c r="A21" s="3" t="s">
        <v>21</v>
      </c>
      <c r="B21" s="3" t="s">
        <v>35</v>
      </c>
      <c r="C21" s="4">
        <v>71.56</v>
      </c>
      <c r="D21" s="4">
        <v>86.94</v>
      </c>
      <c r="E21" s="6">
        <v>8.6999999999999993</v>
      </c>
      <c r="F21" s="6">
        <v>49292.98</v>
      </c>
      <c r="G21" s="6">
        <v>8.11</v>
      </c>
      <c r="H21" s="4">
        <v>69.5</v>
      </c>
      <c r="I21" s="4">
        <v>73.37</v>
      </c>
      <c r="J21" s="4">
        <v>403663</v>
      </c>
      <c r="K21" s="4">
        <v>6.72</v>
      </c>
      <c r="L21" s="7">
        <v>8.75</v>
      </c>
      <c r="M21" s="7">
        <v>65.209999999999994</v>
      </c>
      <c r="N21" s="1">
        <v>0.36699999999999999</v>
      </c>
      <c r="O21" s="10">
        <v>1023180</v>
      </c>
    </row>
    <row r="22" spans="1:15" ht="15.75" customHeight="1" x14ac:dyDescent="0.25">
      <c r="A22" s="3" t="s">
        <v>21</v>
      </c>
      <c r="B22" s="3" t="s">
        <v>36</v>
      </c>
      <c r="C22" s="4">
        <v>71.739999999999995</v>
      </c>
      <c r="D22" s="4">
        <v>90.5</v>
      </c>
      <c r="E22" s="6">
        <v>8.44</v>
      </c>
      <c r="F22" s="6">
        <v>177470.9</v>
      </c>
      <c r="G22" s="6">
        <v>7.96</v>
      </c>
      <c r="H22" s="4">
        <v>70.69</v>
      </c>
      <c r="I22" s="4">
        <v>74.5</v>
      </c>
      <c r="J22" s="4">
        <v>521158</v>
      </c>
      <c r="K22" s="4">
        <v>6.73</v>
      </c>
      <c r="L22" s="7">
        <v>9.8699999999999992</v>
      </c>
      <c r="M22" s="7">
        <v>65.510000000000005</v>
      </c>
      <c r="N22" s="1">
        <v>0.35299999999999998</v>
      </c>
      <c r="O22" s="10">
        <v>2496190</v>
      </c>
    </row>
    <row r="23" spans="1:15" ht="15.75" customHeight="1" x14ac:dyDescent="0.25">
      <c r="A23" s="3" t="s">
        <v>21</v>
      </c>
      <c r="B23" s="3" t="s">
        <v>37</v>
      </c>
      <c r="C23" s="4">
        <v>75.22</v>
      </c>
      <c r="D23" s="4">
        <v>89.37</v>
      </c>
      <c r="E23" s="6">
        <v>5.01</v>
      </c>
      <c r="F23" s="6">
        <v>265120.5</v>
      </c>
      <c r="G23" s="6">
        <v>9.5299999999999994</v>
      </c>
      <c r="H23" s="4">
        <v>72.17</v>
      </c>
      <c r="I23" s="4">
        <v>75.87</v>
      </c>
      <c r="J23" s="4">
        <v>579221</v>
      </c>
      <c r="K23" s="4">
        <v>4.3</v>
      </c>
      <c r="L23" s="7">
        <v>10.31</v>
      </c>
      <c r="M23" s="7">
        <v>65.41</v>
      </c>
      <c r="N23" s="1">
        <v>0.373</v>
      </c>
      <c r="O23" s="10">
        <v>3193840</v>
      </c>
    </row>
    <row r="24" spans="1:15" ht="15.75" customHeight="1" x14ac:dyDescent="0.25">
      <c r="A24" s="3" t="s">
        <v>21</v>
      </c>
      <c r="B24" s="3" t="s">
        <v>38</v>
      </c>
      <c r="C24" s="4">
        <v>69.040000000000006</v>
      </c>
      <c r="D24" s="4">
        <v>79.69</v>
      </c>
      <c r="E24" s="6">
        <v>10.82</v>
      </c>
      <c r="F24" s="6">
        <v>33393.29</v>
      </c>
      <c r="G24" s="6">
        <v>8.2200000000000006</v>
      </c>
      <c r="H24" s="4">
        <v>70.88</v>
      </c>
      <c r="I24" s="4">
        <v>74.67</v>
      </c>
      <c r="J24" s="4">
        <v>393956</v>
      </c>
      <c r="K24" s="4">
        <v>7.81</v>
      </c>
      <c r="L24" s="7">
        <v>9.6300000000000008</v>
      </c>
      <c r="M24" s="7">
        <v>64.37</v>
      </c>
      <c r="N24" s="1">
        <v>0.36799999999999999</v>
      </c>
      <c r="O24" s="10">
        <v>1834230</v>
      </c>
    </row>
    <row r="25" spans="1:15" ht="15.75" customHeight="1" x14ac:dyDescent="0.25">
      <c r="A25" s="3" t="s">
        <v>21</v>
      </c>
      <c r="B25" s="3" t="s">
        <v>39</v>
      </c>
      <c r="C25" s="4">
        <v>69.03</v>
      </c>
      <c r="D25" s="4">
        <v>90.2</v>
      </c>
      <c r="E25" s="6">
        <v>9.32</v>
      </c>
      <c r="F25" s="6">
        <v>2383665</v>
      </c>
      <c r="G25" s="5">
        <v>8.0299999999999994</v>
      </c>
      <c r="H25" s="4">
        <v>69.94</v>
      </c>
      <c r="I25" s="4">
        <v>73.77</v>
      </c>
      <c r="J25" s="4">
        <v>411174</v>
      </c>
      <c r="K25" s="4">
        <v>5.77</v>
      </c>
      <c r="L25" s="7">
        <v>1.56</v>
      </c>
      <c r="M25" s="7">
        <v>79.92</v>
      </c>
      <c r="N25" s="1">
        <v>0.29399999999999998</v>
      </c>
      <c r="O25" s="10">
        <v>428600</v>
      </c>
    </row>
    <row r="26" spans="1:15" ht="15.75" customHeight="1" x14ac:dyDescent="0.25">
      <c r="A26" s="3" t="s">
        <v>21</v>
      </c>
      <c r="B26" s="3" t="s">
        <v>40</v>
      </c>
      <c r="C26" s="4">
        <v>77.17</v>
      </c>
      <c r="D26" s="4">
        <v>90.97</v>
      </c>
      <c r="E26" s="6">
        <v>7.1</v>
      </c>
      <c r="F26" s="6">
        <v>35258.870000000003</v>
      </c>
      <c r="G26" s="6">
        <v>10.63</v>
      </c>
      <c r="H26" s="4">
        <v>72.25</v>
      </c>
      <c r="I26" s="4">
        <v>75.959999999999994</v>
      </c>
      <c r="J26" s="4">
        <v>608949</v>
      </c>
      <c r="K26" s="4">
        <v>5.35</v>
      </c>
      <c r="L26" s="7">
        <v>10.78</v>
      </c>
      <c r="M26" s="7">
        <v>64.209999999999994</v>
      </c>
      <c r="N26" s="1">
        <v>0.43</v>
      </c>
      <c r="O26" s="10">
        <v>1060940</v>
      </c>
    </row>
    <row r="27" spans="1:15" x14ac:dyDescent="0.25">
      <c r="A27" s="3" t="s">
        <v>21</v>
      </c>
      <c r="B27" s="3" t="s">
        <v>41</v>
      </c>
      <c r="C27" s="4">
        <v>75.400000000000006</v>
      </c>
      <c r="D27" s="4">
        <v>91.83</v>
      </c>
      <c r="E27" s="5">
        <v>8.02</v>
      </c>
      <c r="F27" s="6">
        <v>9324.16</v>
      </c>
      <c r="G27" s="6">
        <v>10.14</v>
      </c>
      <c r="H27" s="4">
        <v>70.92</v>
      </c>
      <c r="I27" s="4">
        <v>74.72</v>
      </c>
      <c r="J27" s="4">
        <v>594118</v>
      </c>
      <c r="K27" s="4">
        <v>8.4600000000000009</v>
      </c>
      <c r="L27" s="7">
        <v>8.83</v>
      </c>
      <c r="M27" s="7">
        <v>62.48</v>
      </c>
      <c r="N27" s="1">
        <v>0.48199999999999998</v>
      </c>
      <c r="O27" s="10">
        <v>355420</v>
      </c>
    </row>
    <row r="28" spans="1:15" x14ac:dyDescent="0.25">
      <c r="A28" s="3" t="s">
        <v>21</v>
      </c>
      <c r="B28" s="3" t="s">
        <v>42</v>
      </c>
      <c r="C28" s="4">
        <v>82.5</v>
      </c>
      <c r="D28" s="4">
        <v>94.81</v>
      </c>
      <c r="E28" s="6">
        <v>4.25</v>
      </c>
      <c r="F28" s="6">
        <v>211250.7</v>
      </c>
      <c r="G28" s="5">
        <v>11</v>
      </c>
      <c r="H28" s="4">
        <v>72.92</v>
      </c>
      <c r="I28" s="4">
        <v>76.459999999999994</v>
      </c>
      <c r="J28" s="4">
        <v>545675</v>
      </c>
      <c r="K28" s="4">
        <v>4.55</v>
      </c>
      <c r="L28" s="7">
        <v>9.5500000000000007</v>
      </c>
      <c r="M28" s="7">
        <v>69.42</v>
      </c>
      <c r="N28" s="1">
        <v>0.45900000000000002</v>
      </c>
      <c r="O28" s="10">
        <v>2484150</v>
      </c>
    </row>
    <row r="29" spans="1:15" x14ac:dyDescent="0.25">
      <c r="A29" s="3" t="s">
        <v>21</v>
      </c>
      <c r="B29" s="3" t="s">
        <v>43</v>
      </c>
      <c r="C29" s="4">
        <v>75.89</v>
      </c>
      <c r="D29" s="4">
        <v>94.91</v>
      </c>
      <c r="E29" s="6">
        <v>9.82</v>
      </c>
      <c r="F29" s="6">
        <v>18030.25</v>
      </c>
      <c r="G29" s="6">
        <v>10.33</v>
      </c>
      <c r="H29" s="4">
        <v>70.819999999999993</v>
      </c>
      <c r="I29" s="4">
        <v>74.61</v>
      </c>
      <c r="J29" s="4">
        <v>485613</v>
      </c>
      <c r="K29" s="4">
        <v>7.97</v>
      </c>
      <c r="L29" s="7">
        <v>8.42</v>
      </c>
      <c r="M29" s="7">
        <v>65.42</v>
      </c>
      <c r="N29" s="1">
        <v>0.46800000000000003</v>
      </c>
      <c r="O29" s="10">
        <v>338940</v>
      </c>
    </row>
    <row r="30" spans="1:15" x14ac:dyDescent="0.25">
      <c r="A30" s="3" t="s">
        <v>21</v>
      </c>
      <c r="B30" s="3" t="s">
        <v>44</v>
      </c>
      <c r="C30" s="4">
        <v>82.46</v>
      </c>
      <c r="D30" s="4">
        <v>93.49</v>
      </c>
      <c r="E30" s="6">
        <v>4.43</v>
      </c>
      <c r="F30" s="6">
        <v>73260.649999999994</v>
      </c>
      <c r="G30" s="6">
        <v>11.44</v>
      </c>
      <c r="H30" s="4">
        <v>73.7</v>
      </c>
      <c r="I30" s="4">
        <v>77.180000000000007</v>
      </c>
      <c r="J30" s="4">
        <v>731392</v>
      </c>
      <c r="K30" s="4">
        <v>3.33</v>
      </c>
      <c r="L30" s="7">
        <v>8.81</v>
      </c>
      <c r="M30" s="7">
        <v>65.33</v>
      </c>
      <c r="N30" s="1">
        <v>0.441</v>
      </c>
      <c r="O30" s="10">
        <v>2598070</v>
      </c>
    </row>
    <row r="31" spans="1:15" x14ac:dyDescent="0.25">
      <c r="A31" s="3" t="s">
        <v>21</v>
      </c>
      <c r="B31" s="3" t="s">
        <v>45</v>
      </c>
      <c r="C31" s="4">
        <v>81.86</v>
      </c>
      <c r="D31" s="4">
        <v>93.47</v>
      </c>
      <c r="E31" s="6">
        <v>2.5299999999999998</v>
      </c>
      <c r="F31" s="6">
        <v>52564.98</v>
      </c>
      <c r="G31" s="6">
        <v>11.47</v>
      </c>
      <c r="H31" s="4">
        <v>73.08</v>
      </c>
      <c r="I31" s="4">
        <v>76.91</v>
      </c>
      <c r="J31" s="4">
        <v>744771</v>
      </c>
      <c r="K31" s="4">
        <v>2.15</v>
      </c>
      <c r="L31" s="7">
        <v>7.82</v>
      </c>
      <c r="M31" s="7">
        <v>63.35</v>
      </c>
      <c r="N31" s="1">
        <v>0.39400000000000002</v>
      </c>
      <c r="O31" s="10">
        <v>2113620</v>
      </c>
    </row>
    <row r="32" spans="1:15" x14ac:dyDescent="0.25">
      <c r="A32" s="3" t="s">
        <v>21</v>
      </c>
      <c r="B32" s="3" t="s">
        <v>46</v>
      </c>
      <c r="C32" s="4">
        <v>78.77</v>
      </c>
      <c r="D32" s="4">
        <v>91.97</v>
      </c>
      <c r="E32" s="6">
        <v>5.1100000000000003</v>
      </c>
      <c r="F32" s="6">
        <v>24652.73</v>
      </c>
      <c r="G32" s="6">
        <v>11.21</v>
      </c>
      <c r="H32" s="4">
        <v>72.66</v>
      </c>
      <c r="I32" s="4">
        <v>76.260000000000005</v>
      </c>
      <c r="J32" s="4">
        <v>549450</v>
      </c>
      <c r="K32" s="4">
        <v>4.63</v>
      </c>
      <c r="L32" s="7">
        <v>10.77</v>
      </c>
      <c r="M32" s="7">
        <v>67.22</v>
      </c>
      <c r="N32" s="1">
        <v>0.40799999999999997</v>
      </c>
      <c r="O32" s="10">
        <v>582650</v>
      </c>
    </row>
    <row r="33" spans="1:15" x14ac:dyDescent="0.25">
      <c r="A33" s="3" t="s">
        <v>21</v>
      </c>
      <c r="B33" s="3" t="s">
        <v>47</v>
      </c>
      <c r="C33" s="4">
        <v>73.83</v>
      </c>
      <c r="D33" s="4">
        <v>91.87</v>
      </c>
      <c r="E33" s="6">
        <v>12.72</v>
      </c>
      <c r="F33" s="6">
        <v>16781.04</v>
      </c>
      <c r="G33" s="6">
        <v>9.5299999999999994</v>
      </c>
      <c r="H33" s="4">
        <v>70.73</v>
      </c>
      <c r="I33" s="4">
        <v>74.510000000000005</v>
      </c>
      <c r="J33" s="4">
        <v>498711</v>
      </c>
      <c r="K33" s="4">
        <v>7.92</v>
      </c>
      <c r="L33" s="7">
        <v>6.62</v>
      </c>
      <c r="M33" s="7">
        <v>65.989999999999995</v>
      </c>
      <c r="N33" s="1">
        <v>0.40500000000000003</v>
      </c>
      <c r="O33" s="10">
        <v>732480</v>
      </c>
    </row>
    <row r="34" spans="1:15" x14ac:dyDescent="0.25">
      <c r="A34" s="3" t="s">
        <v>21</v>
      </c>
      <c r="B34" s="3" t="s">
        <v>48</v>
      </c>
      <c r="C34" s="4">
        <v>72.55</v>
      </c>
      <c r="D34" s="4">
        <v>87.67</v>
      </c>
      <c r="E34" s="6">
        <v>6.73</v>
      </c>
      <c r="F34" s="6">
        <v>3516.57</v>
      </c>
      <c r="G34" s="6">
        <v>8.7799999999999994</v>
      </c>
      <c r="H34" s="4">
        <v>69.53</v>
      </c>
      <c r="I34" s="4">
        <v>73.39</v>
      </c>
      <c r="J34" s="4">
        <v>373510</v>
      </c>
      <c r="K34" s="4">
        <v>6.4</v>
      </c>
      <c r="L34" s="7">
        <v>5.53</v>
      </c>
      <c r="M34" s="7">
        <v>63.76</v>
      </c>
      <c r="N34" s="1">
        <v>0.36199999999999999</v>
      </c>
      <c r="O34" s="10">
        <v>205140</v>
      </c>
    </row>
    <row r="35" spans="1:15" x14ac:dyDescent="0.25">
      <c r="A35" s="3" t="s">
        <v>49</v>
      </c>
      <c r="B35" s="3" t="s">
        <v>50</v>
      </c>
      <c r="C35" s="4">
        <v>65.84</v>
      </c>
      <c r="D35" s="4">
        <v>86.93</v>
      </c>
      <c r="E35" s="6">
        <v>9.32</v>
      </c>
      <c r="F35" s="6">
        <v>20814.77</v>
      </c>
      <c r="G35" s="6">
        <v>7.13</v>
      </c>
      <c r="H35" s="4">
        <v>63.17</v>
      </c>
      <c r="I35" s="4">
        <v>67.099999999999994</v>
      </c>
      <c r="J35" s="4">
        <v>416248</v>
      </c>
      <c r="K35" s="4">
        <v>4.3899999999999997</v>
      </c>
      <c r="L35" s="7">
        <v>9.24</v>
      </c>
      <c r="M35" s="7">
        <v>61.66</v>
      </c>
      <c r="N35" s="1">
        <v>0.30199999999999999</v>
      </c>
      <c r="O35" s="10">
        <v>1298.8499999999999</v>
      </c>
    </row>
    <row r="36" spans="1:15" x14ac:dyDescent="0.25">
      <c r="A36" s="3" t="s">
        <v>49</v>
      </c>
      <c r="B36" s="3" t="s">
        <v>51</v>
      </c>
      <c r="C36" s="4">
        <v>64.709999999999994</v>
      </c>
      <c r="D36" s="4">
        <v>80.2</v>
      </c>
      <c r="E36" s="6">
        <v>8.91</v>
      </c>
      <c r="F36" s="6">
        <v>22087.37</v>
      </c>
      <c r="G36" s="6">
        <v>6.59</v>
      </c>
      <c r="H36" s="4">
        <v>65.69</v>
      </c>
      <c r="I36" s="4">
        <v>69.66</v>
      </c>
      <c r="J36" s="4">
        <v>380681</v>
      </c>
      <c r="K36" s="4">
        <v>3.45</v>
      </c>
      <c r="L36" s="7">
        <v>8.5500000000000007</v>
      </c>
      <c r="M36" s="7">
        <v>66.17</v>
      </c>
      <c r="N36" s="1">
        <v>0.312</v>
      </c>
      <c r="O36" s="10">
        <v>1417.35</v>
      </c>
    </row>
    <row r="37" spans="1:15" x14ac:dyDescent="0.25">
      <c r="A37" s="3" t="s">
        <v>49</v>
      </c>
      <c r="B37" s="3" t="s">
        <v>52</v>
      </c>
      <c r="C37" s="4">
        <v>72.97</v>
      </c>
      <c r="D37" s="4">
        <v>91.24</v>
      </c>
      <c r="E37" s="6">
        <v>6.92</v>
      </c>
      <c r="F37" s="6">
        <v>103219.4</v>
      </c>
      <c r="G37" s="6">
        <v>8.92</v>
      </c>
      <c r="H37" s="4">
        <v>68.25</v>
      </c>
      <c r="I37" s="4">
        <v>72.19</v>
      </c>
      <c r="J37" s="4">
        <v>576122</v>
      </c>
      <c r="K37" s="4">
        <v>2.2799999999999998</v>
      </c>
      <c r="L37" s="7">
        <v>7.88</v>
      </c>
      <c r="M37" s="7">
        <v>67.05</v>
      </c>
      <c r="N37" s="1">
        <v>0.28199999999999997</v>
      </c>
      <c r="O37" s="10">
        <v>3321.65</v>
      </c>
    </row>
    <row r="38" spans="1:15" x14ac:dyDescent="0.25">
      <c r="A38" s="3" t="s">
        <v>49</v>
      </c>
      <c r="B38" s="3" t="s">
        <v>53</v>
      </c>
      <c r="C38" s="4">
        <v>67.75</v>
      </c>
      <c r="D38" s="4">
        <v>92.32</v>
      </c>
      <c r="E38" s="6">
        <v>4.96</v>
      </c>
      <c r="F38" s="6">
        <v>57605.99</v>
      </c>
      <c r="G38" s="6">
        <v>7.78</v>
      </c>
      <c r="H38" s="4">
        <v>63.2</v>
      </c>
      <c r="I38" s="4">
        <v>67.03</v>
      </c>
      <c r="J38" s="4">
        <v>385864</v>
      </c>
      <c r="K38" s="4">
        <v>2.9</v>
      </c>
      <c r="L38" s="7">
        <v>10.61</v>
      </c>
      <c r="M38" s="7">
        <v>64.25</v>
      </c>
      <c r="N38" s="1">
        <v>0.28399999999999997</v>
      </c>
      <c r="O38" s="10">
        <v>1661.37</v>
      </c>
    </row>
    <row r="39" spans="1:15" x14ac:dyDescent="0.25">
      <c r="A39" s="3" t="s">
        <v>49</v>
      </c>
      <c r="B39" s="3" t="s">
        <v>54</v>
      </c>
      <c r="C39" s="4">
        <v>78.900000000000006</v>
      </c>
      <c r="D39" s="4">
        <v>94.73</v>
      </c>
      <c r="E39" s="6">
        <v>5.77</v>
      </c>
      <c r="F39" s="6">
        <v>112778.1</v>
      </c>
      <c r="G39" s="6">
        <v>10.84</v>
      </c>
      <c r="H39" s="4">
        <v>69.86</v>
      </c>
      <c r="I39" s="4">
        <v>73.8</v>
      </c>
      <c r="J39" s="4">
        <v>695225</v>
      </c>
      <c r="K39" s="4">
        <v>1.71</v>
      </c>
      <c r="L39" s="7">
        <v>7.16</v>
      </c>
      <c r="M39" s="7">
        <v>66.08</v>
      </c>
      <c r="N39" s="1">
        <v>0.38300000000000001</v>
      </c>
      <c r="O39" s="10">
        <v>1931.64</v>
      </c>
    </row>
    <row r="40" spans="1:15" x14ac:dyDescent="0.25">
      <c r="A40" s="3" t="s">
        <v>49</v>
      </c>
      <c r="B40" s="3" t="s">
        <v>55</v>
      </c>
      <c r="C40" s="4">
        <v>73.95</v>
      </c>
      <c r="D40" s="4">
        <v>87.57</v>
      </c>
      <c r="E40" s="6">
        <v>3.64</v>
      </c>
      <c r="F40" s="6">
        <v>80646.38</v>
      </c>
      <c r="G40" s="6">
        <v>10.34</v>
      </c>
      <c r="H40" s="4">
        <v>64.95</v>
      </c>
      <c r="I40" s="4">
        <v>68.95</v>
      </c>
      <c r="J40" s="4">
        <v>572780</v>
      </c>
      <c r="K40" s="4">
        <v>2.04</v>
      </c>
      <c r="L40" s="7">
        <v>8.1</v>
      </c>
      <c r="M40" s="7">
        <v>67.39</v>
      </c>
      <c r="N40" s="1">
        <v>0.318</v>
      </c>
      <c r="O40" s="10">
        <v>445.06</v>
      </c>
    </row>
    <row r="41" spans="1:15" x14ac:dyDescent="0.25">
      <c r="A41" s="3" t="s">
        <v>49</v>
      </c>
      <c r="B41" s="3" t="s">
        <v>56</v>
      </c>
      <c r="C41" s="4">
        <v>72.98</v>
      </c>
      <c r="D41" s="4">
        <v>92.63</v>
      </c>
      <c r="E41" s="6">
        <v>5.94</v>
      </c>
      <c r="F41" s="6">
        <v>24495.02</v>
      </c>
      <c r="G41" s="6">
        <v>8.9</v>
      </c>
      <c r="H41" s="4">
        <v>66.19</v>
      </c>
      <c r="I41" s="4">
        <v>70.48</v>
      </c>
      <c r="J41" s="4">
        <v>460613</v>
      </c>
      <c r="K41" s="4">
        <v>2.42</v>
      </c>
      <c r="L41" s="7">
        <v>8.17</v>
      </c>
      <c r="M41" s="7">
        <v>64.8</v>
      </c>
      <c r="N41" s="1">
        <v>0.35399999999999998</v>
      </c>
      <c r="O41" s="10">
        <v>712.41</v>
      </c>
    </row>
    <row r="42" spans="1:15" x14ac:dyDescent="0.25">
      <c r="A42" s="3" t="s">
        <v>49</v>
      </c>
      <c r="B42" s="3" t="s">
        <v>57</v>
      </c>
      <c r="C42" s="4">
        <v>81.95</v>
      </c>
      <c r="D42" s="4">
        <v>93.96</v>
      </c>
      <c r="E42" s="6">
        <v>2.5</v>
      </c>
      <c r="F42" s="6">
        <v>66021.240000000005</v>
      </c>
      <c r="G42" s="6">
        <v>11.84</v>
      </c>
      <c r="H42" s="4">
        <v>70.849999999999994</v>
      </c>
      <c r="I42" s="4">
        <v>74.62</v>
      </c>
      <c r="J42" s="4">
        <v>712717</v>
      </c>
      <c r="K42" s="4">
        <v>1.5</v>
      </c>
      <c r="L42" s="7">
        <v>6.59</v>
      </c>
      <c r="M42" s="7">
        <v>58.67</v>
      </c>
      <c r="N42" s="1">
        <v>0.35899999999999999</v>
      </c>
      <c r="O42" s="10">
        <v>1378.71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57"/>
  <sheetViews>
    <sheetView topLeftCell="G1" workbookViewId="0">
      <selection activeCell="O1" sqref="O1:O1048576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67</v>
      </c>
    </row>
    <row r="2" spans="1:15" ht="15.75" customHeight="1" x14ac:dyDescent="0.25">
      <c r="A2" s="3" t="s">
        <v>14</v>
      </c>
      <c r="B2" s="3" t="s">
        <v>15</v>
      </c>
      <c r="C2" s="4">
        <v>73.39</v>
      </c>
      <c r="D2" s="4">
        <v>93.6</v>
      </c>
      <c r="E2" s="6">
        <v>13.13</v>
      </c>
      <c r="F2" s="6">
        <v>3305.13</v>
      </c>
      <c r="G2" s="6">
        <v>9.0299999999999994</v>
      </c>
      <c r="H2" s="4">
        <v>67.680000000000007</v>
      </c>
      <c r="I2" s="4">
        <v>71.63</v>
      </c>
      <c r="J2" s="4">
        <v>743820</v>
      </c>
      <c r="K2" s="4">
        <v>3.63</v>
      </c>
      <c r="L2" s="7">
        <v>8.11</v>
      </c>
      <c r="M2" s="7">
        <v>73.7</v>
      </c>
      <c r="N2" s="1">
        <v>0.43</v>
      </c>
      <c r="O2" s="10">
        <v>28523</v>
      </c>
    </row>
    <row r="3" spans="1:15" ht="15.75" customHeight="1" x14ac:dyDescent="0.25">
      <c r="A3" s="3" t="s">
        <v>14</v>
      </c>
      <c r="B3" s="3" t="s">
        <v>16</v>
      </c>
      <c r="C3" s="4">
        <v>86.07</v>
      </c>
      <c r="D3" s="4">
        <v>97.16</v>
      </c>
      <c r="E3" s="5">
        <v>3.1</v>
      </c>
      <c r="F3" s="6">
        <v>475806.2</v>
      </c>
      <c r="G3" s="6">
        <v>11.75</v>
      </c>
      <c r="H3" s="4">
        <v>73.03</v>
      </c>
      <c r="I3" s="4">
        <v>76.69</v>
      </c>
      <c r="J3" s="4">
        <v>891580</v>
      </c>
      <c r="K3" s="4">
        <v>2.2799999999999998</v>
      </c>
      <c r="L3" s="7">
        <v>5.37</v>
      </c>
      <c r="M3" s="7">
        <v>66.05</v>
      </c>
      <c r="N3" s="1">
        <v>0.43</v>
      </c>
      <c r="O3" s="10">
        <v>2235606</v>
      </c>
    </row>
    <row r="4" spans="1:15" ht="15.75" customHeight="1" x14ac:dyDescent="0.25">
      <c r="A4" s="3" t="s">
        <v>14</v>
      </c>
      <c r="B4" s="3" t="s">
        <v>17</v>
      </c>
      <c r="C4" s="4">
        <v>84.13</v>
      </c>
      <c r="D4" s="4">
        <v>95.98</v>
      </c>
      <c r="E4" s="5">
        <v>4.2</v>
      </c>
      <c r="F4" s="6">
        <v>346508.7</v>
      </c>
      <c r="G4" s="6">
        <v>11.88</v>
      </c>
      <c r="H4" s="4">
        <v>73.38</v>
      </c>
      <c r="I4" s="4">
        <v>77.010000000000005</v>
      </c>
      <c r="J4" s="4">
        <v>669713</v>
      </c>
      <c r="K4" s="4">
        <v>3.08</v>
      </c>
      <c r="L4" s="7">
        <v>7.24</v>
      </c>
      <c r="M4" s="7">
        <v>65.11</v>
      </c>
      <c r="N4" s="1">
        <v>0.43</v>
      </c>
      <c r="O4" s="10">
        <v>3079618</v>
      </c>
    </row>
    <row r="5" spans="1:15" ht="15.75" customHeight="1" x14ac:dyDescent="0.25">
      <c r="A5" s="3" t="s">
        <v>14</v>
      </c>
      <c r="B5" s="3" t="s">
        <v>18</v>
      </c>
      <c r="C5" s="4">
        <v>82.53</v>
      </c>
      <c r="D5" s="4">
        <v>96.28</v>
      </c>
      <c r="E5" s="6">
        <v>4.68</v>
      </c>
      <c r="F5" s="6">
        <v>506560.7</v>
      </c>
      <c r="G5" s="6">
        <v>11.54</v>
      </c>
      <c r="H5" s="4">
        <v>73.06</v>
      </c>
      <c r="I5" s="4">
        <v>76.709999999999994</v>
      </c>
      <c r="J5" s="4">
        <v>784679</v>
      </c>
      <c r="K5" s="4">
        <v>2.91</v>
      </c>
      <c r="L5" s="7">
        <v>6.42</v>
      </c>
      <c r="M5" s="7">
        <v>63.98</v>
      </c>
      <c r="N5" s="1">
        <v>0.43</v>
      </c>
      <c r="O5" s="10">
        <v>1049314</v>
      </c>
    </row>
    <row r="6" spans="1:15" ht="15.75" customHeight="1" x14ac:dyDescent="0.25">
      <c r="A6" s="3" t="s">
        <v>14</v>
      </c>
      <c r="B6" s="3" t="s">
        <v>19</v>
      </c>
      <c r="C6" s="4">
        <v>83.02</v>
      </c>
      <c r="D6" s="4">
        <v>95.39</v>
      </c>
      <c r="E6" s="6">
        <v>4.09</v>
      </c>
      <c r="F6" s="6">
        <v>363931.2</v>
      </c>
      <c r="G6" s="6">
        <v>11.23</v>
      </c>
      <c r="H6" s="4">
        <v>72.39</v>
      </c>
      <c r="I6" s="4">
        <v>76.09</v>
      </c>
      <c r="J6" s="4">
        <v>657247</v>
      </c>
      <c r="K6" s="4">
        <v>2.0299999999999998</v>
      </c>
      <c r="L6" s="7">
        <v>6.39</v>
      </c>
      <c r="M6" s="7">
        <v>64.8</v>
      </c>
      <c r="N6" s="1">
        <v>0.43</v>
      </c>
      <c r="O6" s="10">
        <v>2470054</v>
      </c>
    </row>
    <row r="7" spans="1:15" ht="15.75" customHeight="1" x14ac:dyDescent="0.25">
      <c r="A7" s="3" t="s">
        <v>14</v>
      </c>
      <c r="B7" s="3" t="s">
        <v>20</v>
      </c>
      <c r="C7" s="4">
        <v>81.11</v>
      </c>
      <c r="D7" s="4">
        <v>94.03</v>
      </c>
      <c r="E7" s="6">
        <v>6.78</v>
      </c>
      <c r="F7" s="6">
        <v>364823.9</v>
      </c>
      <c r="G7" s="6">
        <v>10.84</v>
      </c>
      <c r="H7" s="4">
        <v>71.8</v>
      </c>
      <c r="I7" s="4">
        <v>75.55</v>
      </c>
      <c r="J7" s="4">
        <v>684557</v>
      </c>
      <c r="K7" s="4">
        <v>2.62</v>
      </c>
      <c r="L7" s="7">
        <v>7.05</v>
      </c>
      <c r="M7" s="7">
        <v>65.5</v>
      </c>
      <c r="N7" s="1">
        <v>0.43</v>
      </c>
      <c r="O7" s="10">
        <v>1808985</v>
      </c>
    </row>
    <row r="8" spans="1:15" ht="15.75" customHeight="1" x14ac:dyDescent="0.25">
      <c r="A8" s="3" t="s">
        <v>21</v>
      </c>
      <c r="B8" s="3" t="s">
        <v>22</v>
      </c>
      <c r="C8" s="4">
        <v>71.78</v>
      </c>
      <c r="D8" s="4">
        <v>90.2</v>
      </c>
      <c r="E8" s="6">
        <v>7.27</v>
      </c>
      <c r="F8" s="6">
        <v>176683.6</v>
      </c>
      <c r="G8" s="6">
        <v>8.3699999999999992</v>
      </c>
      <c r="H8" s="4">
        <v>69.97</v>
      </c>
      <c r="I8" s="4">
        <v>73.959999999999994</v>
      </c>
      <c r="J8" s="4">
        <v>482174</v>
      </c>
      <c r="K8" s="4">
        <v>5.3</v>
      </c>
      <c r="L8" s="7">
        <v>8.4700000000000006</v>
      </c>
      <c r="M8" s="7">
        <v>64.22</v>
      </c>
      <c r="N8" s="1">
        <v>0.36899999999999999</v>
      </c>
      <c r="O8" s="10">
        <v>5627020</v>
      </c>
    </row>
    <row r="9" spans="1:15" ht="15.75" customHeight="1" x14ac:dyDescent="0.25">
      <c r="A9" s="3" t="s">
        <v>21</v>
      </c>
      <c r="B9" s="3" t="s">
        <v>23</v>
      </c>
      <c r="C9" s="4">
        <v>68.489999999999995</v>
      </c>
      <c r="D9" s="4">
        <v>88.3</v>
      </c>
      <c r="E9" s="6">
        <v>7.01</v>
      </c>
      <c r="F9" s="6">
        <v>52993.98</v>
      </c>
      <c r="G9" s="6">
        <v>7.33</v>
      </c>
      <c r="H9" s="4">
        <v>69.89</v>
      </c>
      <c r="I9" s="4">
        <v>73.88</v>
      </c>
      <c r="J9" s="4">
        <v>392705</v>
      </c>
      <c r="K9" s="4">
        <v>5.98</v>
      </c>
      <c r="L9" s="7">
        <v>7.32</v>
      </c>
      <c r="M9" s="7">
        <v>67.75</v>
      </c>
      <c r="N9" s="1">
        <v>0.35499999999999998</v>
      </c>
      <c r="O9" s="10">
        <v>2802400</v>
      </c>
    </row>
    <row r="10" spans="1:15" ht="15.75" customHeight="1" x14ac:dyDescent="0.25">
      <c r="A10" s="3" t="s">
        <v>21</v>
      </c>
      <c r="B10" s="3" t="s">
        <v>24</v>
      </c>
      <c r="C10" s="4">
        <v>66.55</v>
      </c>
      <c r="D10" s="4">
        <v>85.17</v>
      </c>
      <c r="E10" s="6">
        <v>10.220000000000001</v>
      </c>
      <c r="F10" s="6">
        <v>36339.550000000003</v>
      </c>
      <c r="G10" s="6">
        <v>7.22</v>
      </c>
      <c r="H10" s="4">
        <v>68.87</v>
      </c>
      <c r="I10" s="4">
        <v>72.81</v>
      </c>
      <c r="J10" s="4">
        <v>437327</v>
      </c>
      <c r="K10" s="4">
        <v>7.02</v>
      </c>
      <c r="L10" s="7">
        <v>7.71</v>
      </c>
      <c r="M10" s="7">
        <v>72.31</v>
      </c>
      <c r="N10" s="1">
        <v>0.31900000000000001</v>
      </c>
      <c r="O10" s="10">
        <v>2558140</v>
      </c>
    </row>
    <row r="11" spans="1:15" ht="15.75" customHeight="1" x14ac:dyDescent="0.25">
      <c r="A11" s="3" t="s">
        <v>21</v>
      </c>
      <c r="B11" s="3" t="s">
        <v>25</v>
      </c>
      <c r="C11" s="4">
        <v>73.739999999999995</v>
      </c>
      <c r="D11" s="4">
        <v>94.03</v>
      </c>
      <c r="E11" s="6">
        <v>6.4</v>
      </c>
      <c r="F11" s="6">
        <v>92830.17</v>
      </c>
      <c r="G11" s="6">
        <v>9.1</v>
      </c>
      <c r="H11" s="4">
        <v>72.5</v>
      </c>
      <c r="I11" s="4">
        <v>76.2</v>
      </c>
      <c r="J11" s="4">
        <v>426069</v>
      </c>
      <c r="K11" s="4">
        <v>5.19</v>
      </c>
      <c r="L11" s="7">
        <v>6.52</v>
      </c>
      <c r="M11" s="7">
        <v>67.099999999999994</v>
      </c>
      <c r="N11" s="1">
        <v>0.34799999999999998</v>
      </c>
      <c r="O11" s="10">
        <v>3721110</v>
      </c>
    </row>
    <row r="12" spans="1:15" ht="15.75" customHeight="1" x14ac:dyDescent="0.25">
      <c r="A12" s="3" t="s">
        <v>21</v>
      </c>
      <c r="B12" s="3" t="s">
        <v>26</v>
      </c>
      <c r="C12" s="4">
        <v>68.11</v>
      </c>
      <c r="D12" s="4">
        <v>83.37</v>
      </c>
      <c r="E12" s="6">
        <v>9.77</v>
      </c>
      <c r="F12" s="6">
        <v>44087.22</v>
      </c>
      <c r="G12" s="6">
        <v>7.84</v>
      </c>
      <c r="H12" s="4">
        <v>70.12</v>
      </c>
      <c r="I12" s="4">
        <v>74.12</v>
      </c>
      <c r="J12" s="4">
        <v>367681</v>
      </c>
      <c r="K12" s="4">
        <v>5.76</v>
      </c>
      <c r="L12" s="7">
        <v>7.33</v>
      </c>
      <c r="M12" s="7">
        <v>70.099999999999994</v>
      </c>
      <c r="N12" s="1">
        <v>0.36099999999999999</v>
      </c>
      <c r="O12" s="10">
        <v>2683670</v>
      </c>
    </row>
    <row r="13" spans="1:15" ht="15.75" customHeight="1" x14ac:dyDescent="0.25">
      <c r="A13" s="3" t="s">
        <v>21</v>
      </c>
      <c r="B13" s="3" t="s">
        <v>27</v>
      </c>
      <c r="C13" s="4">
        <v>67.760000000000005</v>
      </c>
      <c r="D13" s="4">
        <v>87.01</v>
      </c>
      <c r="E13" s="6">
        <v>10.28</v>
      </c>
      <c r="F13" s="6">
        <v>27599.16</v>
      </c>
      <c r="G13" s="6">
        <v>7.96</v>
      </c>
      <c r="H13" s="4">
        <v>68.27</v>
      </c>
      <c r="I13" s="4">
        <v>72.209999999999994</v>
      </c>
      <c r="J13" s="4">
        <v>378958</v>
      </c>
      <c r="K13" s="4">
        <v>8.65</v>
      </c>
      <c r="L13" s="7">
        <v>3.89</v>
      </c>
      <c r="M13" s="7">
        <v>68.37</v>
      </c>
      <c r="N13" s="1">
        <v>0.40400000000000003</v>
      </c>
      <c r="O13" s="10">
        <v>1907050</v>
      </c>
    </row>
    <row r="14" spans="1:15" ht="15.75" customHeight="1" x14ac:dyDescent="0.25">
      <c r="A14" s="3" t="s">
        <v>21</v>
      </c>
      <c r="B14" s="3" t="s">
        <v>28</v>
      </c>
      <c r="C14" s="4">
        <v>72.05</v>
      </c>
      <c r="D14" s="4">
        <v>87.25</v>
      </c>
      <c r="E14" s="6">
        <v>7.42</v>
      </c>
      <c r="F14" s="6">
        <v>25111.71</v>
      </c>
      <c r="G14" s="5">
        <v>8.09</v>
      </c>
      <c r="H14" s="4">
        <v>70.61</v>
      </c>
      <c r="I14" s="4">
        <v>74.63</v>
      </c>
      <c r="J14" s="4">
        <v>442108</v>
      </c>
      <c r="K14" s="4">
        <v>6.1</v>
      </c>
      <c r="L14" s="7">
        <v>3.52</v>
      </c>
      <c r="M14" s="7">
        <v>66.260000000000005</v>
      </c>
      <c r="N14" s="1">
        <v>0.34100000000000003</v>
      </c>
      <c r="O14" s="10">
        <v>1251540</v>
      </c>
    </row>
    <row r="15" spans="1:15" ht="15.75" customHeight="1" x14ac:dyDescent="0.25">
      <c r="A15" s="3" t="s">
        <v>21</v>
      </c>
      <c r="B15" s="3" t="s">
        <v>29</v>
      </c>
      <c r="C15" s="4">
        <v>70.72</v>
      </c>
      <c r="D15" s="4">
        <v>87.31</v>
      </c>
      <c r="E15" s="6">
        <v>12.12</v>
      </c>
      <c r="F15" s="6">
        <v>19418.73</v>
      </c>
      <c r="G15" s="6">
        <v>7.89</v>
      </c>
      <c r="H15" s="4">
        <v>72.52</v>
      </c>
      <c r="I15" s="4">
        <v>76.22</v>
      </c>
      <c r="J15" s="4">
        <v>402767</v>
      </c>
      <c r="K15" s="4">
        <v>6.43</v>
      </c>
      <c r="L15" s="7">
        <v>9.49</v>
      </c>
      <c r="M15" s="7">
        <v>61.95</v>
      </c>
      <c r="N15" s="1">
        <v>0.35099999999999998</v>
      </c>
      <c r="O15" s="10">
        <v>1201760</v>
      </c>
    </row>
    <row r="16" spans="1:15" ht="15.75" customHeight="1" x14ac:dyDescent="0.25">
      <c r="A16" s="3" t="s">
        <v>21</v>
      </c>
      <c r="B16" s="3" t="s">
        <v>30</v>
      </c>
      <c r="C16" s="4">
        <v>70.95</v>
      </c>
      <c r="D16" s="4">
        <v>84.28</v>
      </c>
      <c r="E16" s="6">
        <v>11.2</v>
      </c>
      <c r="F16" s="6">
        <v>37246.57</v>
      </c>
      <c r="G16" s="6">
        <v>7.64</v>
      </c>
      <c r="H16" s="4">
        <v>70.790000000000006</v>
      </c>
      <c r="I16" s="4">
        <v>74.83</v>
      </c>
      <c r="J16" s="4">
        <v>451853</v>
      </c>
      <c r="K16" s="4">
        <v>7.28</v>
      </c>
      <c r="L16" s="7">
        <v>7.65</v>
      </c>
      <c r="M16" s="7">
        <v>66.16</v>
      </c>
      <c r="N16" s="1">
        <v>0.36099999999999999</v>
      </c>
      <c r="O16" s="10">
        <v>2360440</v>
      </c>
    </row>
    <row r="17" spans="1:15" ht="15.75" customHeight="1" x14ac:dyDescent="0.25">
      <c r="A17" s="3" t="s">
        <v>21</v>
      </c>
      <c r="B17" s="3" t="s">
        <v>31</v>
      </c>
      <c r="C17" s="4">
        <v>69.13</v>
      </c>
      <c r="D17" s="4">
        <v>87.06</v>
      </c>
      <c r="E17" s="6">
        <v>11.21</v>
      </c>
      <c r="F17" s="6">
        <v>25793.24</v>
      </c>
      <c r="G17" s="6">
        <v>7.52</v>
      </c>
      <c r="H17" s="4">
        <v>69.12</v>
      </c>
      <c r="I17" s="4">
        <v>73.08</v>
      </c>
      <c r="J17" s="4">
        <v>520713</v>
      </c>
      <c r="K17" s="4">
        <v>7.9</v>
      </c>
      <c r="L17" s="7">
        <v>4.12</v>
      </c>
      <c r="M17" s="7">
        <v>68.5</v>
      </c>
      <c r="N17" s="1">
        <v>0.34200000000000003</v>
      </c>
      <c r="O17" s="10">
        <v>1340620</v>
      </c>
    </row>
    <row r="18" spans="1:15" ht="15.75" customHeight="1" x14ac:dyDescent="0.25">
      <c r="A18" s="3" t="s">
        <v>21</v>
      </c>
      <c r="B18" s="3" t="s">
        <v>32</v>
      </c>
      <c r="C18" s="4">
        <v>73.180000000000007</v>
      </c>
      <c r="D18" s="4">
        <v>95.41</v>
      </c>
      <c r="E18" s="6">
        <v>9.36</v>
      </c>
      <c r="F18" s="6">
        <v>26876.86</v>
      </c>
      <c r="G18" s="6">
        <v>8.73</v>
      </c>
      <c r="H18" s="4">
        <v>71.13</v>
      </c>
      <c r="I18" s="4">
        <v>75.349999999999994</v>
      </c>
      <c r="J18" s="4">
        <v>396573</v>
      </c>
      <c r="K18" s="4">
        <v>5.55</v>
      </c>
      <c r="L18" s="7">
        <v>6.94</v>
      </c>
      <c r="M18" s="7">
        <v>67.760000000000005</v>
      </c>
      <c r="N18" s="1">
        <v>0.36599999999999999</v>
      </c>
      <c r="O18" s="10">
        <v>1178240</v>
      </c>
    </row>
    <row r="19" spans="1:15" ht="15.75" customHeight="1" x14ac:dyDescent="0.25">
      <c r="A19" s="3" t="s">
        <v>21</v>
      </c>
      <c r="B19" s="3" t="s">
        <v>33</v>
      </c>
      <c r="C19" s="4">
        <v>69.25</v>
      </c>
      <c r="D19" s="4">
        <v>88.81</v>
      </c>
      <c r="E19" s="6">
        <v>12.13</v>
      </c>
      <c r="F19" s="6">
        <v>67237.69</v>
      </c>
      <c r="G19" s="6">
        <v>6.94</v>
      </c>
      <c r="H19" s="4">
        <v>70.5</v>
      </c>
      <c r="I19" s="4">
        <v>74.52</v>
      </c>
      <c r="J19" s="4">
        <v>532545</v>
      </c>
      <c r="K19" s="4">
        <v>5.4</v>
      </c>
      <c r="L19" s="7">
        <v>6.46</v>
      </c>
      <c r="M19" s="7">
        <v>63.88</v>
      </c>
      <c r="N19" s="1">
        <v>0.34399999999999997</v>
      </c>
      <c r="O19" s="10">
        <v>1894330</v>
      </c>
    </row>
    <row r="20" spans="1:15" ht="15.75" customHeight="1" x14ac:dyDescent="0.25">
      <c r="A20" s="3" t="s">
        <v>21</v>
      </c>
      <c r="B20" s="3" t="s">
        <v>34</v>
      </c>
      <c r="C20" s="4">
        <v>70.7</v>
      </c>
      <c r="D20" s="4">
        <v>91.29</v>
      </c>
      <c r="E20" s="6">
        <v>9.52</v>
      </c>
      <c r="F20" s="6">
        <v>31604.98</v>
      </c>
      <c r="G20" s="6">
        <v>7.45</v>
      </c>
      <c r="H20" s="4">
        <v>71.16</v>
      </c>
      <c r="I20" s="4">
        <v>75.430000000000007</v>
      </c>
      <c r="J20" s="4">
        <v>404320</v>
      </c>
      <c r="K20" s="4">
        <v>6.23</v>
      </c>
      <c r="L20" s="7">
        <v>7.65</v>
      </c>
      <c r="M20" s="7">
        <v>70.03</v>
      </c>
      <c r="N20" s="1">
        <v>0.33100000000000002</v>
      </c>
      <c r="O20" s="10">
        <v>1649820</v>
      </c>
    </row>
    <row r="21" spans="1:15" ht="15.75" customHeight="1" x14ac:dyDescent="0.25">
      <c r="A21" s="3" t="s">
        <v>21</v>
      </c>
      <c r="B21" s="3" t="s">
        <v>35</v>
      </c>
      <c r="C21" s="4">
        <v>72.09</v>
      </c>
      <c r="D21" s="4">
        <v>87.08</v>
      </c>
      <c r="E21" s="6">
        <v>8.4600000000000009</v>
      </c>
      <c r="F21" s="6">
        <v>51740.5</v>
      </c>
      <c r="G21" s="6">
        <v>8.1300000000000008</v>
      </c>
      <c r="H21" s="4">
        <v>69.790000000000006</v>
      </c>
      <c r="I21" s="4">
        <v>73.78</v>
      </c>
      <c r="J21" s="4">
        <v>434187</v>
      </c>
      <c r="K21" s="4">
        <v>5.07</v>
      </c>
      <c r="L21" s="7">
        <v>7.72</v>
      </c>
      <c r="M21" s="7">
        <v>66.37</v>
      </c>
      <c r="N21" s="1">
        <v>0.372</v>
      </c>
      <c r="O21" s="10">
        <v>1037069.9999999999</v>
      </c>
    </row>
    <row r="22" spans="1:15" ht="15.75" customHeight="1" x14ac:dyDescent="0.25">
      <c r="A22" s="3" t="s">
        <v>21</v>
      </c>
      <c r="B22" s="3" t="s">
        <v>36</v>
      </c>
      <c r="C22" s="4">
        <v>72.349999999999994</v>
      </c>
      <c r="D22" s="4">
        <v>91.07</v>
      </c>
      <c r="E22" s="6">
        <v>7.87</v>
      </c>
      <c r="F22" s="6">
        <v>187051.7</v>
      </c>
      <c r="G22" s="5">
        <v>8.0399999999999991</v>
      </c>
      <c r="H22" s="4">
        <v>70.930000000000007</v>
      </c>
      <c r="I22" s="4">
        <v>74.97</v>
      </c>
      <c r="J22" s="4">
        <v>555889</v>
      </c>
      <c r="K22" s="4">
        <v>5.93</v>
      </c>
      <c r="L22" s="7">
        <v>8.9499999999999993</v>
      </c>
      <c r="M22" s="7">
        <v>63.4</v>
      </c>
      <c r="N22" s="1">
        <v>0.38900000000000001</v>
      </c>
      <c r="O22" s="10">
        <v>2526000</v>
      </c>
    </row>
    <row r="23" spans="1:15" ht="15.75" customHeight="1" x14ac:dyDescent="0.25">
      <c r="A23" s="3" t="s">
        <v>21</v>
      </c>
      <c r="B23" s="3" t="s">
        <v>37</v>
      </c>
      <c r="C23" s="4">
        <v>75.760000000000005</v>
      </c>
      <c r="D23" s="4">
        <v>89.53</v>
      </c>
      <c r="E23" s="6">
        <v>4.93</v>
      </c>
      <c r="F23" s="6">
        <v>279224.90000000002</v>
      </c>
      <c r="G23" s="6">
        <v>9.57</v>
      </c>
      <c r="H23" s="4">
        <v>72.53</v>
      </c>
      <c r="I23" s="4">
        <v>76.23</v>
      </c>
      <c r="J23" s="4">
        <v>632811</v>
      </c>
      <c r="K23" s="4">
        <v>4.3600000000000003</v>
      </c>
      <c r="L23" s="7">
        <v>8.8699999999999992</v>
      </c>
      <c r="M23" s="7">
        <v>65</v>
      </c>
      <c r="N23" s="1">
        <v>0.39700000000000002</v>
      </c>
      <c r="O23" s="10">
        <v>3237420</v>
      </c>
    </row>
    <row r="24" spans="1:15" ht="15.75" customHeight="1" x14ac:dyDescent="0.25">
      <c r="A24" s="3" t="s">
        <v>21</v>
      </c>
      <c r="B24" s="3" t="s">
        <v>38</v>
      </c>
      <c r="C24" s="4">
        <v>69.61</v>
      </c>
      <c r="D24" s="4">
        <v>80.37</v>
      </c>
      <c r="E24" s="6">
        <v>10.52</v>
      </c>
      <c r="F24" s="6">
        <v>35062.19</v>
      </c>
      <c r="G24" s="6">
        <v>8.23</v>
      </c>
      <c r="H24" s="4">
        <v>71.069999999999993</v>
      </c>
      <c r="I24" s="4">
        <v>75.23</v>
      </c>
      <c r="J24" s="4">
        <v>426355</v>
      </c>
      <c r="K24" s="4">
        <v>7.48</v>
      </c>
      <c r="L24" s="7">
        <v>8.11</v>
      </c>
      <c r="M24" s="7">
        <v>67.010000000000005</v>
      </c>
      <c r="N24" s="1">
        <v>0.374</v>
      </c>
      <c r="O24" s="10">
        <v>1859640</v>
      </c>
    </row>
    <row r="25" spans="1:15" ht="15.75" customHeight="1" x14ac:dyDescent="0.25">
      <c r="A25" s="3" t="s">
        <v>21</v>
      </c>
      <c r="B25" s="3" t="s">
        <v>39</v>
      </c>
      <c r="C25" s="4">
        <v>69.38</v>
      </c>
      <c r="D25" s="4">
        <v>90.04</v>
      </c>
      <c r="E25" s="6">
        <v>8.98</v>
      </c>
      <c r="F25" s="6">
        <v>8869.86</v>
      </c>
      <c r="G25" s="5">
        <v>8.0399999999999991</v>
      </c>
      <c r="H25" s="4">
        <v>70.22</v>
      </c>
      <c r="I25" s="4">
        <v>74.22</v>
      </c>
      <c r="J25" s="4">
        <v>447242</v>
      </c>
      <c r="K25" s="4">
        <v>6.04</v>
      </c>
      <c r="L25" s="7">
        <v>1.52</v>
      </c>
      <c r="M25" s="7">
        <v>80.150000000000006</v>
      </c>
      <c r="N25" s="1">
        <v>0.32300000000000001</v>
      </c>
      <c r="O25" s="10">
        <v>431460</v>
      </c>
    </row>
    <row r="26" spans="1:15" ht="15.75" customHeight="1" x14ac:dyDescent="0.25">
      <c r="A26" s="3" t="s">
        <v>21</v>
      </c>
      <c r="B26" s="3" t="s">
        <v>40</v>
      </c>
      <c r="C26" s="4">
        <v>77.849999999999994</v>
      </c>
      <c r="D26" s="4">
        <v>91.11</v>
      </c>
      <c r="E26" s="6">
        <v>6.67</v>
      </c>
      <c r="F26" s="6">
        <v>37055.360000000001</v>
      </c>
      <c r="G26" s="6">
        <v>10.64</v>
      </c>
      <c r="H26" s="4">
        <v>72.69</v>
      </c>
      <c r="I26" s="4">
        <v>76.37</v>
      </c>
      <c r="J26" s="4">
        <v>661384</v>
      </c>
      <c r="K26" s="4">
        <v>4.8600000000000003</v>
      </c>
      <c r="L26" s="7">
        <v>9.39</v>
      </c>
      <c r="M26" s="7">
        <v>64.81</v>
      </c>
      <c r="N26" s="1">
        <v>0.46400000000000002</v>
      </c>
      <c r="O26" s="10">
        <v>1070720</v>
      </c>
    </row>
    <row r="27" spans="1:15" x14ac:dyDescent="0.25">
      <c r="A27" s="3" t="s">
        <v>21</v>
      </c>
      <c r="B27" s="3" t="s">
        <v>41</v>
      </c>
      <c r="C27" s="4">
        <v>76.319999999999993</v>
      </c>
      <c r="D27" s="4">
        <v>92.35</v>
      </c>
      <c r="E27" s="5">
        <v>7.5</v>
      </c>
      <c r="F27" s="6">
        <v>9801.8799999999992</v>
      </c>
      <c r="G27" s="6">
        <v>10.37</v>
      </c>
      <c r="H27" s="4">
        <v>71.08</v>
      </c>
      <c r="I27" s="4">
        <v>75.25</v>
      </c>
      <c r="J27" s="4">
        <v>644276</v>
      </c>
      <c r="K27" s="4">
        <v>5.23</v>
      </c>
      <c r="L27" s="7">
        <v>8.5299999999999994</v>
      </c>
      <c r="M27" s="7">
        <v>62.57</v>
      </c>
      <c r="N27" s="1">
        <v>0.45800000000000002</v>
      </c>
      <c r="O27" s="10">
        <v>360640</v>
      </c>
    </row>
    <row r="28" spans="1:15" x14ac:dyDescent="0.25">
      <c r="A28" s="3" t="s">
        <v>21</v>
      </c>
      <c r="B28" s="3" t="s">
        <v>42</v>
      </c>
      <c r="C28" s="4">
        <v>83.04</v>
      </c>
      <c r="D28" s="4">
        <v>94.71</v>
      </c>
      <c r="E28" s="6">
        <v>3.96</v>
      </c>
      <c r="F28" s="6">
        <v>221969.1</v>
      </c>
      <c r="G28" s="5">
        <v>11.06</v>
      </c>
      <c r="H28" s="4">
        <v>73.3</v>
      </c>
      <c r="I28" s="4">
        <v>76.930000000000007</v>
      </c>
      <c r="J28" s="4">
        <v>591124</v>
      </c>
      <c r="K28" s="4">
        <v>3.64</v>
      </c>
      <c r="L28" s="7">
        <v>8.83</v>
      </c>
      <c r="M28" s="7">
        <v>66.97</v>
      </c>
      <c r="N28" s="1">
        <v>0.45900000000000002</v>
      </c>
      <c r="O28" s="10">
        <v>2506600</v>
      </c>
    </row>
    <row r="29" spans="1:15" x14ac:dyDescent="0.25">
      <c r="A29" s="3" t="s">
        <v>21</v>
      </c>
      <c r="B29" s="3" t="s">
        <v>43</v>
      </c>
      <c r="C29" s="4">
        <v>76.459999999999994</v>
      </c>
      <c r="D29" s="4">
        <v>95.55</v>
      </c>
      <c r="E29" s="6">
        <v>9.16</v>
      </c>
      <c r="F29" s="6">
        <v>18934.400000000001</v>
      </c>
      <c r="G29" s="6">
        <v>10.37</v>
      </c>
      <c r="H29" s="4">
        <v>71.06</v>
      </c>
      <c r="I29" s="4">
        <v>75.2</v>
      </c>
      <c r="J29" s="4">
        <v>520579</v>
      </c>
      <c r="K29" s="4">
        <v>6.85</v>
      </c>
      <c r="L29" s="7">
        <v>7.66</v>
      </c>
      <c r="M29" s="7">
        <v>68.709999999999994</v>
      </c>
      <c r="N29" s="1">
        <v>0.46800000000000003</v>
      </c>
      <c r="O29" s="10">
        <v>341980</v>
      </c>
    </row>
    <row r="30" spans="1:15" x14ac:dyDescent="0.25">
      <c r="A30" s="3" t="s">
        <v>21</v>
      </c>
      <c r="B30" s="3" t="s">
        <v>44</v>
      </c>
      <c r="C30" s="4">
        <v>83.03</v>
      </c>
      <c r="D30" s="4">
        <v>93.52</v>
      </c>
      <c r="E30" s="5">
        <v>4.0999999999999996</v>
      </c>
      <c r="F30" s="6">
        <v>77241.789999999994</v>
      </c>
      <c r="G30" s="6">
        <v>11.66</v>
      </c>
      <c r="H30" s="4">
        <v>74.099999999999994</v>
      </c>
      <c r="I30" s="4">
        <v>77.45</v>
      </c>
      <c r="J30" s="4">
        <v>795965</v>
      </c>
      <c r="K30" s="4">
        <v>2.27</v>
      </c>
      <c r="L30" s="7">
        <v>7.9</v>
      </c>
      <c r="M30" s="7">
        <v>64.650000000000006</v>
      </c>
      <c r="N30" s="1">
        <v>0.41399999999999998</v>
      </c>
      <c r="O30" s="10">
        <v>2627210</v>
      </c>
    </row>
    <row r="31" spans="1:15" x14ac:dyDescent="0.25">
      <c r="A31" s="3" t="s">
        <v>21</v>
      </c>
      <c r="B31" s="3" t="s">
        <v>45</v>
      </c>
      <c r="C31" s="4">
        <v>82.38</v>
      </c>
      <c r="D31" s="4">
        <v>93.44</v>
      </c>
      <c r="E31" s="6">
        <v>2.38</v>
      </c>
      <c r="F31" s="6">
        <v>55221.82</v>
      </c>
      <c r="G31" s="6">
        <v>11.58</v>
      </c>
      <c r="H31" s="4">
        <v>73.489999999999995</v>
      </c>
      <c r="I31" s="4">
        <v>77.11</v>
      </c>
      <c r="J31" s="4">
        <v>804984</v>
      </c>
      <c r="K31" s="4">
        <v>1.99</v>
      </c>
      <c r="L31" s="7">
        <v>6.97</v>
      </c>
      <c r="M31" s="7">
        <v>62.76</v>
      </c>
      <c r="N31" s="1">
        <v>0.40200000000000002</v>
      </c>
      <c r="O31" s="10">
        <v>2145400</v>
      </c>
    </row>
    <row r="32" spans="1:15" x14ac:dyDescent="0.25">
      <c r="A32" s="3" t="s">
        <v>21</v>
      </c>
      <c r="B32" s="3" t="s">
        <v>46</v>
      </c>
      <c r="C32" s="4">
        <v>79.459999999999994</v>
      </c>
      <c r="D32" s="4">
        <v>92</v>
      </c>
      <c r="E32" s="6">
        <v>4.66</v>
      </c>
      <c r="F32" s="6">
        <v>25931.98</v>
      </c>
      <c r="G32" s="6">
        <v>11.39</v>
      </c>
      <c r="H32" s="4">
        <v>73.05</v>
      </c>
      <c r="I32" s="4">
        <v>76.7</v>
      </c>
      <c r="J32" s="4">
        <v>590197</v>
      </c>
      <c r="K32" s="4">
        <v>2.98</v>
      </c>
      <c r="L32" s="7">
        <v>10.52</v>
      </c>
      <c r="M32" s="7">
        <v>68.430000000000007</v>
      </c>
      <c r="N32" s="1">
        <v>0.39400000000000002</v>
      </c>
      <c r="O32" s="10">
        <v>590780</v>
      </c>
    </row>
    <row r="33" spans="1:15" x14ac:dyDescent="0.25">
      <c r="A33" s="3" t="s">
        <v>21</v>
      </c>
      <c r="B33" s="3" t="s">
        <v>47</v>
      </c>
      <c r="C33" s="4">
        <v>74.47</v>
      </c>
      <c r="D33" s="4">
        <v>92.13</v>
      </c>
      <c r="E33" s="6">
        <v>11.53</v>
      </c>
      <c r="F33" s="6">
        <v>17781.93</v>
      </c>
      <c r="G33" s="6">
        <v>9.5399999999999991</v>
      </c>
      <c r="H33" s="4">
        <v>70.95</v>
      </c>
      <c r="I33" s="4">
        <v>74.989999999999995</v>
      </c>
      <c r="J33" s="4">
        <v>537497</v>
      </c>
      <c r="K33" s="4">
        <v>5.14</v>
      </c>
      <c r="L33" s="7">
        <v>6.55</v>
      </c>
      <c r="M33" s="7">
        <v>65.44</v>
      </c>
      <c r="N33" s="1">
        <v>0.42799999999999999</v>
      </c>
      <c r="O33" s="10">
        <v>741760</v>
      </c>
    </row>
    <row r="34" spans="1:15" x14ac:dyDescent="0.25">
      <c r="A34" s="3" t="s">
        <v>21</v>
      </c>
      <c r="B34" s="3" t="s">
        <v>48</v>
      </c>
      <c r="C34" s="4">
        <v>73.08</v>
      </c>
      <c r="D34" s="4">
        <v>87.85</v>
      </c>
      <c r="E34" s="6">
        <v>6.14</v>
      </c>
      <c r="F34" s="6">
        <v>3682.3</v>
      </c>
      <c r="G34" s="6">
        <v>8.7899999999999991</v>
      </c>
      <c r="H34" s="4">
        <v>69.849999999999994</v>
      </c>
      <c r="I34" s="4">
        <v>73.84</v>
      </c>
      <c r="J34" s="4">
        <v>408710</v>
      </c>
      <c r="K34" s="4">
        <v>5.55</v>
      </c>
      <c r="L34" s="7">
        <v>5.43</v>
      </c>
      <c r="M34" s="7">
        <v>67.44</v>
      </c>
      <c r="N34" s="1">
        <v>0.33700000000000002</v>
      </c>
      <c r="O34" s="10">
        <v>207510</v>
      </c>
    </row>
    <row r="35" spans="1:15" x14ac:dyDescent="0.25">
      <c r="A35" s="3" t="s">
        <v>49</v>
      </c>
      <c r="B35" s="3" t="s">
        <v>50</v>
      </c>
      <c r="C35" s="4">
        <v>66.42</v>
      </c>
      <c r="D35" s="4">
        <v>87.09</v>
      </c>
      <c r="E35" s="6">
        <v>9.27</v>
      </c>
      <c r="F35" s="6">
        <v>21340.73</v>
      </c>
      <c r="G35" s="6">
        <v>7.15</v>
      </c>
      <c r="H35" s="4">
        <v>63.7</v>
      </c>
      <c r="I35" s="4">
        <v>67.56</v>
      </c>
      <c r="J35" s="4">
        <v>455297</v>
      </c>
      <c r="K35" s="4">
        <v>4.6900000000000004</v>
      </c>
      <c r="L35" s="7">
        <v>9.0500000000000007</v>
      </c>
      <c r="M35" s="7">
        <v>60.33</v>
      </c>
      <c r="N35" s="1">
        <v>0.24299999999999999</v>
      </c>
      <c r="O35" s="10">
        <v>1312.77</v>
      </c>
    </row>
    <row r="36" spans="1:15" x14ac:dyDescent="0.25">
      <c r="A36" s="3" t="s">
        <v>49</v>
      </c>
      <c r="B36" s="3" t="s">
        <v>51</v>
      </c>
      <c r="C36" s="4">
        <v>65.209999999999994</v>
      </c>
      <c r="D36" s="4">
        <v>80.75</v>
      </c>
      <c r="E36" s="6">
        <v>8.68</v>
      </c>
      <c r="F36" s="6">
        <v>22706.47</v>
      </c>
      <c r="G36" s="6">
        <v>6.6</v>
      </c>
      <c r="H36" s="4">
        <v>66.19</v>
      </c>
      <c r="I36" s="4">
        <v>70.17</v>
      </c>
      <c r="J36" s="4">
        <v>419066</v>
      </c>
      <c r="K36" s="4">
        <v>4.82</v>
      </c>
      <c r="L36" s="7">
        <v>7.57</v>
      </c>
      <c r="M36" s="7">
        <v>67.900000000000006</v>
      </c>
      <c r="N36" s="1">
        <v>0.27100000000000002</v>
      </c>
      <c r="O36" s="10">
        <v>1433.7</v>
      </c>
    </row>
    <row r="37" spans="1:15" x14ac:dyDescent="0.25">
      <c r="A37" s="3" t="s">
        <v>49</v>
      </c>
      <c r="B37" s="3" t="s">
        <v>52</v>
      </c>
      <c r="C37" s="4">
        <v>73.430000000000007</v>
      </c>
      <c r="D37" s="4">
        <v>91.67</v>
      </c>
      <c r="E37" s="6">
        <v>6.93</v>
      </c>
      <c r="F37" s="6">
        <v>108569.8</v>
      </c>
      <c r="G37" s="6">
        <v>8.93</v>
      </c>
      <c r="H37" s="4">
        <v>68.73</v>
      </c>
      <c r="I37" s="4">
        <v>72.67</v>
      </c>
      <c r="J37" s="4">
        <v>604362</v>
      </c>
      <c r="K37" s="4">
        <v>2.59</v>
      </c>
      <c r="L37" s="7">
        <v>6.94</v>
      </c>
      <c r="M37" s="7">
        <v>66.87</v>
      </c>
      <c r="N37" s="1">
        <v>0.28599999999999998</v>
      </c>
      <c r="O37" s="10">
        <v>3362.61</v>
      </c>
    </row>
    <row r="38" spans="1:15" x14ac:dyDescent="0.25">
      <c r="A38" s="3" t="s">
        <v>49</v>
      </c>
      <c r="B38" s="3" t="s">
        <v>53</v>
      </c>
      <c r="C38" s="4">
        <v>68.39</v>
      </c>
      <c r="D38" s="4">
        <v>92.49</v>
      </c>
      <c r="E38" s="6">
        <v>4.8499999999999996</v>
      </c>
      <c r="F38" s="6">
        <v>60369.96</v>
      </c>
      <c r="G38" s="6">
        <v>7.79</v>
      </c>
      <c r="H38" s="4">
        <v>63.72</v>
      </c>
      <c r="I38" s="4">
        <v>67.58</v>
      </c>
      <c r="J38" s="4">
        <v>425751</v>
      </c>
      <c r="K38" s="4">
        <v>3.23</v>
      </c>
      <c r="L38" s="7">
        <v>9.94</v>
      </c>
      <c r="M38" s="7">
        <v>63.22</v>
      </c>
      <c r="N38" s="1">
        <v>0.27400000000000002</v>
      </c>
      <c r="O38" s="10">
        <v>1682.13</v>
      </c>
    </row>
    <row r="39" spans="1:15" x14ac:dyDescent="0.25">
      <c r="A39" s="3" t="s">
        <v>49</v>
      </c>
      <c r="B39" s="3" t="s">
        <v>54</v>
      </c>
      <c r="C39" s="4">
        <v>79.459999999999994</v>
      </c>
      <c r="D39" s="4">
        <v>94.89</v>
      </c>
      <c r="E39" s="6">
        <v>5.89</v>
      </c>
      <c r="F39" s="6">
        <v>119059.9</v>
      </c>
      <c r="G39" s="6">
        <v>10.91</v>
      </c>
      <c r="H39" s="4">
        <v>70.28</v>
      </c>
      <c r="I39" s="4">
        <v>74.290000000000006</v>
      </c>
      <c r="J39" s="4">
        <v>746468</v>
      </c>
      <c r="K39" s="4">
        <v>1.58</v>
      </c>
      <c r="L39" s="7">
        <v>6.76</v>
      </c>
      <c r="M39" s="7">
        <v>63.39</v>
      </c>
      <c r="N39" s="1">
        <v>0.379</v>
      </c>
      <c r="O39" s="10">
        <v>1950.58</v>
      </c>
    </row>
    <row r="40" spans="1:15" x14ac:dyDescent="0.25">
      <c r="A40" s="3" t="s">
        <v>49</v>
      </c>
      <c r="B40" s="3" t="s">
        <v>55</v>
      </c>
      <c r="C40" s="4">
        <v>74.540000000000006</v>
      </c>
      <c r="D40" s="4">
        <v>88.05</v>
      </c>
      <c r="E40" s="6">
        <v>3.98</v>
      </c>
      <c r="F40" s="6">
        <v>84536.65</v>
      </c>
      <c r="G40" s="6">
        <v>10.38</v>
      </c>
      <c r="H40" s="4">
        <v>65.459999999999994</v>
      </c>
      <c r="I40" s="4">
        <v>69.42</v>
      </c>
      <c r="J40" s="4">
        <v>632703</v>
      </c>
      <c r="K40" s="4">
        <v>2.19</v>
      </c>
      <c r="L40" s="7">
        <v>7.25</v>
      </c>
      <c r="M40" s="7">
        <v>62.7</v>
      </c>
      <c r="N40" s="1">
        <v>0.36199999999999999</v>
      </c>
      <c r="O40" s="10">
        <v>450.51</v>
      </c>
    </row>
    <row r="41" spans="1:15" x14ac:dyDescent="0.25">
      <c r="A41" s="3" t="s">
        <v>49</v>
      </c>
      <c r="B41" s="3" t="s">
        <v>56</v>
      </c>
      <c r="C41" s="4">
        <v>73.48</v>
      </c>
      <c r="D41" s="4">
        <v>92.49</v>
      </c>
      <c r="E41" s="6">
        <v>6.2</v>
      </c>
      <c r="F41" s="6">
        <v>25655.25</v>
      </c>
      <c r="G41" s="6">
        <v>8.91</v>
      </c>
      <c r="H41" s="4">
        <v>67.05</v>
      </c>
      <c r="I41" s="4">
        <v>71.02</v>
      </c>
      <c r="J41" s="4">
        <v>511575</v>
      </c>
      <c r="K41" s="4">
        <v>2.2999999999999998</v>
      </c>
      <c r="L41" s="7">
        <v>7.45</v>
      </c>
      <c r="M41" s="7">
        <v>68.44</v>
      </c>
      <c r="N41" s="1">
        <v>0.30599999999999999</v>
      </c>
      <c r="O41" s="10">
        <v>723.79</v>
      </c>
    </row>
    <row r="42" spans="1:15" x14ac:dyDescent="0.25">
      <c r="A42" s="3" t="s">
        <v>49</v>
      </c>
      <c r="B42" s="3" t="s">
        <v>57</v>
      </c>
      <c r="C42" s="4">
        <v>82.28</v>
      </c>
      <c r="D42" s="4">
        <v>94.23</v>
      </c>
      <c r="E42" s="6">
        <v>2.57</v>
      </c>
      <c r="F42" s="6">
        <v>69561.56</v>
      </c>
      <c r="G42" s="6">
        <v>11.85</v>
      </c>
      <c r="H42" s="4">
        <v>71.069999999999993</v>
      </c>
      <c r="I42" s="4">
        <v>75.239999999999995</v>
      </c>
      <c r="J42" s="4">
        <v>782543</v>
      </c>
      <c r="K42" s="4">
        <v>1.92</v>
      </c>
      <c r="L42" s="7">
        <v>5.81</v>
      </c>
      <c r="M42" s="7">
        <v>60.5</v>
      </c>
      <c r="N42" s="1">
        <v>0.35899999999999999</v>
      </c>
      <c r="O42" s="10">
        <v>1391.65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57"/>
  <sheetViews>
    <sheetView topLeftCell="E34" zoomScaleNormal="100" workbookViewId="0">
      <selection activeCell="O1" sqref="O1:O1048576"/>
    </sheetView>
  </sheetViews>
  <sheetFormatPr defaultColWidth="12.5703125" defaultRowHeight="15.75" customHeight="1" x14ac:dyDescent="0.2"/>
  <cols>
    <col min="1" max="2" width="12.5703125" style="2"/>
    <col min="3" max="15" width="12.5703125" style="7"/>
    <col min="16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67</v>
      </c>
    </row>
    <row r="2" spans="1:15" ht="15.75" customHeight="1" x14ac:dyDescent="0.25">
      <c r="A2" s="3" t="s">
        <v>14</v>
      </c>
      <c r="B2" s="3" t="s">
        <v>15</v>
      </c>
      <c r="C2" s="4">
        <v>74.17</v>
      </c>
      <c r="D2" s="4">
        <v>93.62</v>
      </c>
      <c r="E2" s="5">
        <v>13.03</v>
      </c>
      <c r="F2" s="5">
        <v>3268.5</v>
      </c>
      <c r="G2" s="6">
        <v>9.26</v>
      </c>
      <c r="H2" s="4">
        <v>67.849999999999994</v>
      </c>
      <c r="I2" s="4">
        <v>71.8</v>
      </c>
      <c r="J2" s="4">
        <v>775909</v>
      </c>
      <c r="K2" s="4">
        <v>4.3899999999999997</v>
      </c>
      <c r="L2" s="7">
        <v>7.93</v>
      </c>
      <c r="M2" s="8">
        <v>8.11</v>
      </c>
      <c r="N2" s="1">
        <v>0.42699999999999999</v>
      </c>
      <c r="O2" s="10">
        <v>30420</v>
      </c>
    </row>
    <row r="3" spans="1:15" ht="15.75" customHeight="1" x14ac:dyDescent="0.25">
      <c r="A3" s="3" t="s">
        <v>14</v>
      </c>
      <c r="B3" s="3" t="s">
        <v>16</v>
      </c>
      <c r="C3" s="4">
        <v>86.94</v>
      </c>
      <c r="D3" s="4">
        <v>97.3</v>
      </c>
      <c r="E3" s="5">
        <v>3.03</v>
      </c>
      <c r="F3" s="6">
        <v>500422.7</v>
      </c>
      <c r="G3" s="6">
        <v>11.95</v>
      </c>
      <c r="H3" s="4">
        <v>73.38</v>
      </c>
      <c r="I3" s="4">
        <v>76.86</v>
      </c>
      <c r="J3" s="4">
        <v>928278</v>
      </c>
      <c r="K3" s="4">
        <v>2.4500000000000002</v>
      </c>
      <c r="L3" s="7">
        <v>5.22</v>
      </c>
      <c r="M3" s="7">
        <v>5.37</v>
      </c>
      <c r="N3" s="1">
        <v>0.42699999999999999</v>
      </c>
      <c r="O3" s="10">
        <v>2410000</v>
      </c>
    </row>
    <row r="4" spans="1:15" ht="15.75" customHeight="1" x14ac:dyDescent="0.25">
      <c r="A4" s="3" t="s">
        <v>14</v>
      </c>
      <c r="B4" s="3" t="s">
        <v>17</v>
      </c>
      <c r="C4" s="4">
        <v>84.65</v>
      </c>
      <c r="D4" s="4">
        <v>95.9</v>
      </c>
      <c r="E4" s="5">
        <v>4.09</v>
      </c>
      <c r="F4" s="6">
        <v>362068.1</v>
      </c>
      <c r="G4" s="6">
        <v>11.99</v>
      </c>
      <c r="H4" s="4">
        <v>73.73</v>
      </c>
      <c r="I4" s="4">
        <v>77.11</v>
      </c>
      <c r="J4" s="4">
        <v>697472</v>
      </c>
      <c r="K4" s="4">
        <v>4.38</v>
      </c>
      <c r="L4" s="7">
        <v>6.95</v>
      </c>
      <c r="M4" s="7">
        <v>7.24</v>
      </c>
      <c r="N4" s="1">
        <v>0.42699999999999999</v>
      </c>
      <c r="O4" s="10">
        <v>3310000</v>
      </c>
    </row>
    <row r="5" spans="1:15" ht="15.75" customHeight="1" x14ac:dyDescent="0.25">
      <c r="A5" s="3" t="s">
        <v>14</v>
      </c>
      <c r="B5" s="3" t="s">
        <v>18</v>
      </c>
      <c r="C5" s="4">
        <v>83.01</v>
      </c>
      <c r="D5" s="4">
        <v>96.24</v>
      </c>
      <c r="E5" s="6">
        <v>4.63</v>
      </c>
      <c r="F5" s="6">
        <v>532606.9</v>
      </c>
      <c r="G5" s="6">
        <v>11.61</v>
      </c>
      <c r="H5" s="4">
        <v>73.650000000000006</v>
      </c>
      <c r="I5" s="4">
        <v>76.94</v>
      </c>
      <c r="J5" s="4">
        <v>818722</v>
      </c>
      <c r="K5" s="4">
        <v>3.63</v>
      </c>
      <c r="L5" s="7">
        <v>6.24</v>
      </c>
      <c r="M5" s="7">
        <v>6.42</v>
      </c>
      <c r="N5" s="1">
        <v>0.42699999999999999</v>
      </c>
      <c r="O5" s="10">
        <v>1100000</v>
      </c>
    </row>
    <row r="6" spans="1:15" ht="15.75" customHeight="1" x14ac:dyDescent="0.25">
      <c r="A6" s="3" t="s">
        <v>14</v>
      </c>
      <c r="B6" s="3" t="s">
        <v>19</v>
      </c>
      <c r="C6" s="4">
        <v>83.64</v>
      </c>
      <c r="D6" s="4">
        <v>95.66</v>
      </c>
      <c r="E6" s="6">
        <v>3.94</v>
      </c>
      <c r="F6" s="6">
        <v>383113.1</v>
      </c>
      <c r="G6" s="6">
        <v>11.24</v>
      </c>
      <c r="H6" s="4">
        <v>72.55</v>
      </c>
      <c r="I6" s="4">
        <v>76.28</v>
      </c>
      <c r="J6" s="4">
        <v>685071</v>
      </c>
      <c r="K6" s="4">
        <v>3.55</v>
      </c>
      <c r="L6" s="7">
        <v>6.18</v>
      </c>
      <c r="M6" s="7">
        <v>6.39</v>
      </c>
      <c r="N6" s="1">
        <v>0.42699999999999999</v>
      </c>
      <c r="O6" s="10">
        <v>2610000</v>
      </c>
    </row>
    <row r="7" spans="1:15" ht="15.75" customHeight="1" x14ac:dyDescent="0.25">
      <c r="A7" s="3" t="s">
        <v>14</v>
      </c>
      <c r="B7" s="3" t="s">
        <v>20</v>
      </c>
      <c r="C7" s="4">
        <v>81.39</v>
      </c>
      <c r="D7" s="4">
        <v>94.43</v>
      </c>
      <c r="E7" s="6">
        <v>6.44</v>
      </c>
      <c r="F7" s="6">
        <v>380461.1</v>
      </c>
      <c r="G7" s="6">
        <v>10.85</v>
      </c>
      <c r="H7" s="4">
        <v>71.97</v>
      </c>
      <c r="I7" s="4">
        <v>76.040000000000006</v>
      </c>
      <c r="J7" s="4">
        <v>712835</v>
      </c>
      <c r="K7" s="4">
        <v>3.39</v>
      </c>
      <c r="L7" s="7">
        <v>6.18</v>
      </c>
      <c r="M7" s="8">
        <v>7.05</v>
      </c>
      <c r="N7" s="1">
        <v>0.42699999999999999</v>
      </c>
      <c r="O7" s="10">
        <v>1870000</v>
      </c>
    </row>
    <row r="8" spans="1:15" ht="15.75" customHeight="1" x14ac:dyDescent="0.25">
      <c r="A8" s="3" t="s">
        <v>21</v>
      </c>
      <c r="B8" s="3" t="s">
        <v>22</v>
      </c>
      <c r="C8" s="4">
        <v>72.39</v>
      </c>
      <c r="D8" s="4">
        <v>90.17</v>
      </c>
      <c r="E8" s="5">
        <v>7.05</v>
      </c>
      <c r="F8" s="6">
        <v>185882.3</v>
      </c>
      <c r="G8" s="6">
        <v>8.39</v>
      </c>
      <c r="H8" s="4">
        <v>70.2</v>
      </c>
      <c r="I8" s="4">
        <v>74.209999999999994</v>
      </c>
      <c r="J8" s="4">
        <v>513512</v>
      </c>
      <c r="K8" s="4">
        <v>5.68</v>
      </c>
      <c r="L8" s="7">
        <v>7.34</v>
      </c>
      <c r="M8" s="7">
        <v>8.4700000000000006</v>
      </c>
      <c r="N8" s="1">
        <v>0.39800000000000002</v>
      </c>
      <c r="O8" s="10">
        <v>5682300</v>
      </c>
    </row>
    <row r="9" spans="1:15" ht="15.75" customHeight="1" x14ac:dyDescent="0.25">
      <c r="A9" s="3" t="s">
        <v>21</v>
      </c>
      <c r="B9" s="3" t="s">
        <v>23</v>
      </c>
      <c r="C9" s="4">
        <v>68.97</v>
      </c>
      <c r="D9" s="4">
        <v>88.59</v>
      </c>
      <c r="E9" s="6">
        <v>6.87</v>
      </c>
      <c r="F9" s="6">
        <v>55723.92</v>
      </c>
      <c r="G9" s="6">
        <v>7.34</v>
      </c>
      <c r="H9" s="4">
        <v>70.11</v>
      </c>
      <c r="I9" s="4">
        <v>74.11</v>
      </c>
      <c r="J9" s="4">
        <v>416751</v>
      </c>
      <c r="K9" s="4">
        <v>5.82</v>
      </c>
      <c r="L9" s="8">
        <v>7.11</v>
      </c>
      <c r="M9" s="7">
        <v>7.32</v>
      </c>
      <c r="N9" s="1">
        <v>0.34200000000000003</v>
      </c>
      <c r="O9" s="10">
        <v>2828020</v>
      </c>
    </row>
    <row r="10" spans="1:15" ht="15.75" customHeight="1" x14ac:dyDescent="0.25">
      <c r="A10" s="3" t="s">
        <v>21</v>
      </c>
      <c r="B10" s="3" t="s">
        <v>24</v>
      </c>
      <c r="C10" s="4">
        <v>67.239999999999995</v>
      </c>
      <c r="D10" s="4">
        <v>85.45</v>
      </c>
      <c r="E10" s="6">
        <v>10.14</v>
      </c>
      <c r="F10" s="6">
        <v>38208.18</v>
      </c>
      <c r="G10" s="6">
        <v>7.33</v>
      </c>
      <c r="H10" s="4">
        <v>69.03</v>
      </c>
      <c r="I10" s="4">
        <v>72.98</v>
      </c>
      <c r="J10" s="4">
        <v>466509</v>
      </c>
      <c r="K10" s="4">
        <v>5.37</v>
      </c>
      <c r="L10" s="7">
        <v>5.99</v>
      </c>
      <c r="M10" s="7">
        <v>7.71</v>
      </c>
      <c r="N10" s="1">
        <v>0.33800000000000002</v>
      </c>
      <c r="O10" s="10">
        <v>2584990</v>
      </c>
    </row>
    <row r="11" spans="1:15" ht="15.75" customHeight="1" x14ac:dyDescent="0.25">
      <c r="A11" s="3" t="s">
        <v>21</v>
      </c>
      <c r="B11" s="3" t="s">
        <v>25</v>
      </c>
      <c r="C11" s="4">
        <v>74.27</v>
      </c>
      <c r="D11" s="4">
        <v>94.23</v>
      </c>
      <c r="E11" s="6">
        <v>6.19</v>
      </c>
      <c r="F11" s="6">
        <v>97509.91</v>
      </c>
      <c r="G11" s="6">
        <v>9.15</v>
      </c>
      <c r="H11" s="4">
        <v>72.73</v>
      </c>
      <c r="I11" s="4">
        <v>76.44</v>
      </c>
      <c r="J11" s="4">
        <v>455636</v>
      </c>
      <c r="K11" s="4">
        <v>5.8</v>
      </c>
      <c r="L11" s="7">
        <v>6.36</v>
      </c>
      <c r="M11" s="7">
        <v>6.52</v>
      </c>
      <c r="N11" s="1">
        <v>0.36399999999999999</v>
      </c>
      <c r="O11" s="10">
        <v>3753120</v>
      </c>
    </row>
    <row r="12" spans="1:15" ht="15.75" customHeight="1" x14ac:dyDescent="0.25">
      <c r="A12" s="3" t="s">
        <v>21</v>
      </c>
      <c r="B12" s="3" t="s">
        <v>26</v>
      </c>
      <c r="C12" s="4">
        <v>68.790000000000006</v>
      </c>
      <c r="D12" s="4">
        <v>83.5</v>
      </c>
      <c r="E12" s="6">
        <v>9.68</v>
      </c>
      <c r="F12" s="6">
        <v>46270.92</v>
      </c>
      <c r="G12" s="6">
        <v>7.85</v>
      </c>
      <c r="H12" s="4">
        <v>70.319999999999993</v>
      </c>
      <c r="I12" s="4">
        <v>74.33</v>
      </c>
      <c r="J12" s="4">
        <v>393464</v>
      </c>
      <c r="K12" s="4">
        <v>5.0199999999999996</v>
      </c>
      <c r="L12" s="7">
        <v>6.96</v>
      </c>
      <c r="M12" s="7">
        <v>7.33</v>
      </c>
      <c r="N12" s="1">
        <v>0.32400000000000001</v>
      </c>
      <c r="O12" s="10">
        <v>2716950</v>
      </c>
    </row>
    <row r="13" spans="1:15" ht="15.75" customHeight="1" x14ac:dyDescent="0.25">
      <c r="A13" s="3" t="s">
        <v>21</v>
      </c>
      <c r="B13" s="3" t="s">
        <v>27</v>
      </c>
      <c r="C13" s="4">
        <v>68.36</v>
      </c>
      <c r="D13" s="4">
        <v>87.1</v>
      </c>
      <c r="E13" s="6">
        <v>10.23</v>
      </c>
      <c r="F13" s="6">
        <v>28879.68</v>
      </c>
      <c r="G13" s="6">
        <v>7.97</v>
      </c>
      <c r="H13" s="4">
        <v>68.47</v>
      </c>
      <c r="I13" s="4">
        <v>72.41</v>
      </c>
      <c r="J13" s="4">
        <v>400148</v>
      </c>
      <c r="K13" s="4">
        <v>5.95</v>
      </c>
      <c r="L13" s="7">
        <v>3.74</v>
      </c>
      <c r="M13" s="7">
        <v>3.89</v>
      </c>
      <c r="N13" s="1">
        <v>0.36299999999999999</v>
      </c>
      <c r="O13" s="10">
        <v>1920920</v>
      </c>
    </row>
    <row r="14" spans="1:15" ht="15.75" customHeight="1" x14ac:dyDescent="0.25">
      <c r="A14" s="3" t="s">
        <v>21</v>
      </c>
      <c r="B14" s="3" t="s">
        <v>28</v>
      </c>
      <c r="C14" s="4">
        <v>72.56</v>
      </c>
      <c r="D14" s="4">
        <v>87.48</v>
      </c>
      <c r="E14" s="6">
        <v>7.39</v>
      </c>
      <c r="F14" s="6">
        <v>26360.94</v>
      </c>
      <c r="G14" s="5">
        <v>8.1</v>
      </c>
      <c r="H14" s="4">
        <v>70.900000000000006</v>
      </c>
      <c r="I14" s="4">
        <v>74.94</v>
      </c>
      <c r="J14" s="4">
        <v>467497</v>
      </c>
      <c r="K14" s="4">
        <v>5.78</v>
      </c>
      <c r="L14" s="7">
        <v>3.37</v>
      </c>
      <c r="M14" s="7">
        <v>3.52</v>
      </c>
      <c r="N14" s="1">
        <v>0.32600000000000001</v>
      </c>
      <c r="O14" s="10">
        <v>1259230</v>
      </c>
    </row>
    <row r="15" spans="1:15" ht="15.75" customHeight="1" x14ac:dyDescent="0.25">
      <c r="A15" s="3" t="s">
        <v>21</v>
      </c>
      <c r="B15" s="3" t="s">
        <v>29</v>
      </c>
      <c r="C15" s="4">
        <v>71.260000000000005</v>
      </c>
      <c r="D15" s="4">
        <v>87.55</v>
      </c>
      <c r="E15" s="6">
        <v>11.88</v>
      </c>
      <c r="F15" s="6">
        <v>20507.27</v>
      </c>
      <c r="G15" s="5">
        <v>7.9</v>
      </c>
      <c r="H15" s="4">
        <v>72.72</v>
      </c>
      <c r="I15" s="4">
        <v>76.42</v>
      </c>
      <c r="J15" s="4">
        <v>420867</v>
      </c>
      <c r="K15" s="4">
        <v>5.83</v>
      </c>
      <c r="L15" s="7">
        <v>7.78</v>
      </c>
      <c r="M15" s="7">
        <v>9.49</v>
      </c>
      <c r="N15" s="1">
        <v>0.36899999999999999</v>
      </c>
      <c r="O15" s="10">
        <v>1213930</v>
      </c>
    </row>
    <row r="16" spans="1:15" ht="15.75" customHeight="1" x14ac:dyDescent="0.25">
      <c r="A16" s="3" t="s">
        <v>21</v>
      </c>
      <c r="B16" s="3" t="s">
        <v>30</v>
      </c>
      <c r="C16" s="4">
        <v>71.44</v>
      </c>
      <c r="D16" s="4">
        <v>84.74</v>
      </c>
      <c r="E16" s="6">
        <v>11</v>
      </c>
      <c r="F16" s="6">
        <v>39418.269999999997</v>
      </c>
      <c r="G16" s="6">
        <v>7.65</v>
      </c>
      <c r="H16" s="4">
        <v>71.03</v>
      </c>
      <c r="I16" s="4">
        <v>75.150000000000006</v>
      </c>
      <c r="J16" s="4">
        <v>475046</v>
      </c>
      <c r="K16" s="4">
        <v>5.65</v>
      </c>
      <c r="L16" s="7">
        <v>6.74</v>
      </c>
      <c r="M16" s="7">
        <v>7.65</v>
      </c>
      <c r="N16" s="1">
        <v>0.374</v>
      </c>
      <c r="O16" s="10">
        <v>2387960</v>
      </c>
    </row>
    <row r="17" spans="1:15" ht="15.75" customHeight="1" x14ac:dyDescent="0.25">
      <c r="A17" s="3" t="s">
        <v>21</v>
      </c>
      <c r="B17" s="3" t="s">
        <v>31</v>
      </c>
      <c r="C17" s="4">
        <v>69.739999999999995</v>
      </c>
      <c r="D17" s="4">
        <v>87.16</v>
      </c>
      <c r="E17" s="6">
        <v>10.82</v>
      </c>
      <c r="F17" s="6">
        <v>27438.93</v>
      </c>
      <c r="G17" s="6">
        <v>7.53</v>
      </c>
      <c r="H17" s="4">
        <v>69.37</v>
      </c>
      <c r="I17" s="4">
        <v>73.34</v>
      </c>
      <c r="J17" s="4">
        <v>547912</v>
      </c>
      <c r="K17" s="4">
        <v>5.95</v>
      </c>
      <c r="L17" s="7">
        <v>4.01</v>
      </c>
      <c r="M17" s="7">
        <v>4.12</v>
      </c>
      <c r="N17" s="1">
        <v>0.35399999999999998</v>
      </c>
      <c r="O17" s="10">
        <v>1352540</v>
      </c>
    </row>
    <row r="18" spans="1:15" ht="15.75" customHeight="1" x14ac:dyDescent="0.25">
      <c r="A18" s="3" t="s">
        <v>21</v>
      </c>
      <c r="B18" s="3" t="s">
        <v>32</v>
      </c>
      <c r="C18" s="4">
        <v>73.73</v>
      </c>
      <c r="D18" s="4">
        <v>95.55</v>
      </c>
      <c r="E18" s="5">
        <v>9.1</v>
      </c>
      <c r="F18" s="6">
        <v>27965.759999999998</v>
      </c>
      <c r="G18" s="6">
        <v>8.74</v>
      </c>
      <c r="H18" s="4">
        <v>71.290000000000006</v>
      </c>
      <c r="I18" s="4">
        <v>75.7</v>
      </c>
      <c r="J18" s="4">
        <v>422714</v>
      </c>
      <c r="K18" s="4">
        <v>5.43</v>
      </c>
      <c r="L18" s="7">
        <v>6.16</v>
      </c>
      <c r="M18" s="7">
        <v>6.94</v>
      </c>
      <c r="N18" s="1">
        <v>0.33700000000000002</v>
      </c>
      <c r="O18" s="10">
        <v>1187130</v>
      </c>
    </row>
    <row r="19" spans="1:15" ht="15.75" customHeight="1" x14ac:dyDescent="0.25">
      <c r="A19" s="3" t="s">
        <v>21</v>
      </c>
      <c r="B19" s="3" t="s">
        <v>33</v>
      </c>
      <c r="C19" s="4">
        <v>69.83</v>
      </c>
      <c r="D19" s="4">
        <v>89.03</v>
      </c>
      <c r="E19" s="6">
        <v>11.93</v>
      </c>
      <c r="F19" s="6">
        <v>68701.960000000006</v>
      </c>
      <c r="G19" s="6">
        <v>6.95</v>
      </c>
      <c r="H19" s="4">
        <v>70.8</v>
      </c>
      <c r="I19" s="4">
        <v>74.83</v>
      </c>
      <c r="J19" s="4">
        <v>560159</v>
      </c>
      <c r="K19" s="4">
        <v>5.46</v>
      </c>
      <c r="L19" s="7">
        <v>6.25</v>
      </c>
      <c r="M19" s="7">
        <v>6.46</v>
      </c>
      <c r="N19" s="1">
        <v>0.30599999999999999</v>
      </c>
      <c r="O19" s="10">
        <v>1914040</v>
      </c>
    </row>
    <row r="20" spans="1:15" ht="15.75" customHeight="1" x14ac:dyDescent="0.25">
      <c r="A20" s="3" t="s">
        <v>21</v>
      </c>
      <c r="B20" s="3" t="s">
        <v>34</v>
      </c>
      <c r="C20" s="4">
        <v>71.36</v>
      </c>
      <c r="D20" s="4">
        <v>91.55</v>
      </c>
      <c r="E20" s="6">
        <v>9.49</v>
      </c>
      <c r="F20" s="6">
        <v>33126.46</v>
      </c>
      <c r="G20" s="6">
        <v>7.46</v>
      </c>
      <c r="H20" s="4">
        <v>71.34</v>
      </c>
      <c r="I20" s="4">
        <v>75.8</v>
      </c>
      <c r="J20" s="4">
        <v>434161</v>
      </c>
      <c r="K20" s="4">
        <v>6.19</v>
      </c>
      <c r="L20" s="7">
        <v>6.73</v>
      </c>
      <c r="M20" s="7">
        <v>7.65</v>
      </c>
      <c r="N20" s="1">
        <v>0.32</v>
      </c>
      <c r="O20" s="10">
        <v>1663160</v>
      </c>
    </row>
    <row r="21" spans="1:15" ht="15.75" customHeight="1" x14ac:dyDescent="0.25">
      <c r="A21" s="3" t="s">
        <v>21</v>
      </c>
      <c r="B21" s="3" t="s">
        <v>35</v>
      </c>
      <c r="C21" s="4">
        <v>72.650000000000006</v>
      </c>
      <c r="D21" s="4">
        <v>87.18</v>
      </c>
      <c r="E21" s="6">
        <v>8.41</v>
      </c>
      <c r="F21" s="6">
        <v>54142.29</v>
      </c>
      <c r="G21" s="6">
        <v>8.14</v>
      </c>
      <c r="H21" s="4">
        <v>70.040000000000006</v>
      </c>
      <c r="I21" s="4">
        <v>74.040000000000006</v>
      </c>
      <c r="J21" s="4">
        <v>467948</v>
      </c>
      <c r="K21" s="4">
        <v>5.84</v>
      </c>
      <c r="L21" s="7">
        <v>7.34</v>
      </c>
      <c r="M21" s="7">
        <v>7.72</v>
      </c>
      <c r="N21" s="1">
        <v>0.39800000000000002</v>
      </c>
      <c r="O21" s="10">
        <v>1050340</v>
      </c>
    </row>
    <row r="22" spans="1:15" ht="15.75" customHeight="1" x14ac:dyDescent="0.25">
      <c r="A22" s="3" t="s">
        <v>21</v>
      </c>
      <c r="B22" s="3" t="s">
        <v>36</v>
      </c>
      <c r="C22" s="4">
        <v>72.900000000000006</v>
      </c>
      <c r="D22" s="4">
        <v>91.23</v>
      </c>
      <c r="E22" s="6">
        <v>7.86</v>
      </c>
      <c r="F22" s="6">
        <v>194903.1</v>
      </c>
      <c r="G22" s="5">
        <v>8.0500000000000007</v>
      </c>
      <c r="H22" s="4">
        <v>71.099999999999994</v>
      </c>
      <c r="I22" s="4">
        <v>75.290000000000006</v>
      </c>
      <c r="J22" s="4">
        <v>597345</v>
      </c>
      <c r="K22" s="4">
        <v>5.0999999999999996</v>
      </c>
      <c r="L22" s="7">
        <v>8.0399999999999991</v>
      </c>
      <c r="M22" s="7">
        <v>8.9499999999999993</v>
      </c>
      <c r="N22" s="1">
        <v>0.376</v>
      </c>
      <c r="O22" s="10">
        <v>2554380</v>
      </c>
    </row>
    <row r="23" spans="1:15" ht="15.75" customHeight="1" x14ac:dyDescent="0.25">
      <c r="A23" s="3" t="s">
        <v>21</v>
      </c>
      <c r="B23" s="3" t="s">
        <v>37</v>
      </c>
      <c r="C23" s="4">
        <v>76.44</v>
      </c>
      <c r="D23" s="4">
        <v>89.72</v>
      </c>
      <c r="E23" s="5">
        <v>4.8</v>
      </c>
      <c r="F23" s="6">
        <v>293664.8</v>
      </c>
      <c r="G23" s="6">
        <v>9.76</v>
      </c>
      <c r="H23" s="4">
        <v>72.75</v>
      </c>
      <c r="I23" s="4">
        <v>76.55</v>
      </c>
      <c r="J23" s="4">
        <v>674924</v>
      </c>
      <c r="K23" s="4">
        <v>4.5999999999999996</v>
      </c>
      <c r="L23" s="7">
        <v>8.82</v>
      </c>
      <c r="M23" s="7">
        <v>8.8699999999999992</v>
      </c>
      <c r="N23" s="1">
        <v>0.36699999999999999</v>
      </c>
      <c r="O23" s="10">
        <v>3273870</v>
      </c>
    </row>
    <row r="24" spans="1:15" ht="15.75" customHeight="1" x14ac:dyDescent="0.25">
      <c r="A24" s="3" t="s">
        <v>21</v>
      </c>
      <c r="B24" s="3" t="s">
        <v>38</v>
      </c>
      <c r="C24" s="4">
        <v>70.03</v>
      </c>
      <c r="D24" s="4">
        <v>81.02</v>
      </c>
      <c r="E24" s="6">
        <v>10.49</v>
      </c>
      <c r="F24" s="6">
        <v>36793.68</v>
      </c>
      <c r="G24" s="6">
        <v>8.24</v>
      </c>
      <c r="H24" s="4">
        <v>71.23</v>
      </c>
      <c r="I24" s="4">
        <v>75.56</v>
      </c>
      <c r="J24" s="4">
        <v>455325</v>
      </c>
      <c r="K24" s="4">
        <v>6.25</v>
      </c>
      <c r="L24" s="7">
        <v>6.7</v>
      </c>
      <c r="M24" s="7">
        <v>8.11</v>
      </c>
      <c r="N24" s="1">
        <v>0.4</v>
      </c>
      <c r="O24" s="10">
        <v>1884190</v>
      </c>
    </row>
    <row r="25" spans="1:15" ht="15.75" customHeight="1" x14ac:dyDescent="0.25">
      <c r="A25" s="3" t="s">
        <v>21</v>
      </c>
      <c r="B25" s="3" t="s">
        <v>39</v>
      </c>
      <c r="C25" s="4">
        <v>69.849999999999994</v>
      </c>
      <c r="D25" s="4">
        <v>90.38</v>
      </c>
      <c r="E25" s="6">
        <v>8.75</v>
      </c>
      <c r="F25" s="6">
        <v>9324.31</v>
      </c>
      <c r="G25" s="5">
        <v>8.1</v>
      </c>
      <c r="H25" s="4">
        <v>70.45</v>
      </c>
      <c r="I25" s="4">
        <v>74.459999999999994</v>
      </c>
      <c r="J25" s="4">
        <v>470068</v>
      </c>
      <c r="K25" s="4">
        <v>5.22</v>
      </c>
      <c r="L25" s="7">
        <v>1.58</v>
      </c>
      <c r="M25" s="7">
        <v>1.52</v>
      </c>
      <c r="N25" s="1">
        <v>0.28599999999999998</v>
      </c>
      <c r="O25" s="10">
        <v>434100</v>
      </c>
    </row>
    <row r="26" spans="1:15" ht="15.75" customHeight="1" x14ac:dyDescent="0.25">
      <c r="A26" s="3" t="s">
        <v>21</v>
      </c>
      <c r="B26" s="3" t="s">
        <v>40</v>
      </c>
      <c r="C26" s="4">
        <v>78.52</v>
      </c>
      <c r="D26" s="4">
        <v>91.26</v>
      </c>
      <c r="E26" s="6">
        <v>6.53</v>
      </c>
      <c r="F26" s="6">
        <v>38964.67</v>
      </c>
      <c r="G26" s="6">
        <v>10.71</v>
      </c>
      <c r="H26" s="4">
        <v>72.89</v>
      </c>
      <c r="I26" s="4">
        <v>76.69</v>
      </c>
      <c r="J26" s="4">
        <v>699861</v>
      </c>
      <c r="K26" s="4">
        <v>7.98</v>
      </c>
      <c r="L26" s="7">
        <v>8.1300000000000008</v>
      </c>
      <c r="M26" s="7">
        <v>9.39</v>
      </c>
      <c r="N26" s="1">
        <v>0.47699999999999998</v>
      </c>
      <c r="O26" s="10">
        <v>1078350</v>
      </c>
    </row>
    <row r="27" spans="1:15" x14ac:dyDescent="0.25">
      <c r="A27" s="3" t="s">
        <v>21</v>
      </c>
      <c r="B27" s="3" t="s">
        <v>41</v>
      </c>
      <c r="C27" s="4">
        <v>76.849999999999994</v>
      </c>
      <c r="D27" s="4">
        <v>92.59</v>
      </c>
      <c r="E27" s="5">
        <v>7.2</v>
      </c>
      <c r="F27" s="6">
        <v>10303.16</v>
      </c>
      <c r="G27" s="6">
        <v>10.38</v>
      </c>
      <c r="H27" s="4">
        <v>71.23</v>
      </c>
      <c r="I27" s="4">
        <v>75.569999999999993</v>
      </c>
      <c r="J27" s="4">
        <v>678258</v>
      </c>
      <c r="K27" s="4">
        <v>5.57</v>
      </c>
      <c r="L27" s="7">
        <v>8.34</v>
      </c>
      <c r="M27" s="7">
        <v>8.5299999999999994</v>
      </c>
      <c r="N27" s="1">
        <v>0.436</v>
      </c>
      <c r="O27" s="10">
        <v>365740</v>
      </c>
    </row>
    <row r="28" spans="1:15" x14ac:dyDescent="0.25">
      <c r="A28" s="3" t="s">
        <v>21</v>
      </c>
      <c r="B28" s="3" t="s">
        <v>42</v>
      </c>
      <c r="C28" s="4">
        <v>83.52</v>
      </c>
      <c r="D28" s="4">
        <v>94.87</v>
      </c>
      <c r="E28" s="6">
        <v>3.87</v>
      </c>
      <c r="F28" s="6">
        <v>233053.8</v>
      </c>
      <c r="G28" s="5">
        <v>11.07</v>
      </c>
      <c r="H28" s="4">
        <v>73.5</v>
      </c>
      <c r="I28" s="4">
        <v>77.239999999999995</v>
      </c>
      <c r="J28" s="4">
        <v>614707</v>
      </c>
      <c r="K28" s="4">
        <v>5.48</v>
      </c>
      <c r="L28" s="7">
        <v>7.4</v>
      </c>
      <c r="M28" s="7">
        <v>8.83</v>
      </c>
      <c r="N28" s="1">
        <v>0.44</v>
      </c>
      <c r="O28" s="10">
        <v>2528160</v>
      </c>
    </row>
    <row r="29" spans="1:15" x14ac:dyDescent="0.25">
      <c r="A29" s="3" t="s">
        <v>21</v>
      </c>
      <c r="B29" s="3" t="s">
        <v>43</v>
      </c>
      <c r="C29" s="4">
        <v>77.08</v>
      </c>
      <c r="D29" s="4">
        <v>95.83</v>
      </c>
      <c r="E29" s="5">
        <v>9.02</v>
      </c>
      <c r="F29" s="6">
        <v>19884.060000000001</v>
      </c>
      <c r="G29" s="6">
        <v>10.53</v>
      </c>
      <c r="H29" s="4">
        <v>71.22</v>
      </c>
      <c r="I29" s="4">
        <v>75.55</v>
      </c>
      <c r="J29" s="4">
        <v>545592</v>
      </c>
      <c r="K29" s="4">
        <v>6.56</v>
      </c>
      <c r="L29" s="7">
        <v>6.29</v>
      </c>
      <c r="M29" s="7">
        <v>7.66</v>
      </c>
      <c r="N29" s="1">
        <v>0.42399999999999999</v>
      </c>
      <c r="O29" s="10">
        <v>344850</v>
      </c>
    </row>
    <row r="30" spans="1:15" x14ac:dyDescent="0.25">
      <c r="A30" s="3" t="s">
        <v>21</v>
      </c>
      <c r="B30" s="3" t="s">
        <v>44</v>
      </c>
      <c r="C30" s="4">
        <v>83.54</v>
      </c>
      <c r="D30" s="4">
        <v>93.62</v>
      </c>
      <c r="E30" s="5">
        <v>4.01</v>
      </c>
      <c r="F30" s="6">
        <v>81251.61</v>
      </c>
      <c r="G30" s="6">
        <v>11.79</v>
      </c>
      <c r="H30" s="4">
        <v>74.290000000000006</v>
      </c>
      <c r="I30" s="4">
        <v>77.75</v>
      </c>
      <c r="J30" s="4">
        <v>842927</v>
      </c>
      <c r="K30" s="4">
        <v>4.88</v>
      </c>
      <c r="L30" s="7">
        <v>7.82</v>
      </c>
      <c r="M30" s="7">
        <v>7.9</v>
      </c>
      <c r="N30" s="1">
        <v>0.435</v>
      </c>
      <c r="O30" s="10">
        <v>2644060</v>
      </c>
    </row>
    <row r="31" spans="1:15" x14ac:dyDescent="0.25">
      <c r="A31" s="3" t="s">
        <v>21</v>
      </c>
      <c r="B31" s="3" t="s">
        <v>45</v>
      </c>
      <c r="C31" s="4">
        <v>82.91</v>
      </c>
      <c r="D31" s="4">
        <v>93.7</v>
      </c>
      <c r="E31" s="6">
        <v>2.34</v>
      </c>
      <c r="F31" s="6">
        <v>58241.86</v>
      </c>
      <c r="G31" s="6">
        <v>11.59</v>
      </c>
      <c r="H31" s="4">
        <v>73.680000000000007</v>
      </c>
      <c r="I31" s="4">
        <v>77.41</v>
      </c>
      <c r="J31" s="4">
        <v>843893</v>
      </c>
      <c r="K31" s="4">
        <v>4.5199999999999996</v>
      </c>
      <c r="L31" s="7">
        <v>6.27</v>
      </c>
      <c r="M31" s="7">
        <v>6.97</v>
      </c>
      <c r="N31" s="1">
        <v>0.39800000000000002</v>
      </c>
      <c r="O31" s="10">
        <v>2163640</v>
      </c>
    </row>
    <row r="32" spans="1:15" x14ac:dyDescent="0.25">
      <c r="A32" s="3" t="s">
        <v>21</v>
      </c>
      <c r="B32" s="3" t="s">
        <v>46</v>
      </c>
      <c r="C32" s="4">
        <v>80.08</v>
      </c>
      <c r="D32" s="4">
        <v>92.28</v>
      </c>
      <c r="E32" s="6">
        <v>4.3899999999999997</v>
      </c>
      <c r="F32" s="6">
        <v>27296.93</v>
      </c>
      <c r="G32" s="6">
        <v>11.52</v>
      </c>
      <c r="H32" s="4">
        <v>73.23</v>
      </c>
      <c r="I32" s="4">
        <v>77.010000000000005</v>
      </c>
      <c r="J32" s="4">
        <v>612567</v>
      </c>
      <c r="K32" s="4">
        <v>5.43</v>
      </c>
      <c r="L32" s="7">
        <v>8.9700000000000006</v>
      </c>
      <c r="M32" s="7">
        <v>10.52</v>
      </c>
      <c r="N32" s="1">
        <v>0.40200000000000002</v>
      </c>
      <c r="O32" s="10">
        <v>598700</v>
      </c>
    </row>
    <row r="33" spans="1:15" x14ac:dyDescent="0.25">
      <c r="A33" s="3" t="s">
        <v>21</v>
      </c>
      <c r="B33" s="3" t="s">
        <v>47</v>
      </c>
      <c r="C33" s="4">
        <v>75.040000000000006</v>
      </c>
      <c r="D33" s="4">
        <v>92.22</v>
      </c>
      <c r="E33" s="5">
        <v>11.1</v>
      </c>
      <c r="F33" s="6">
        <v>18709.87</v>
      </c>
      <c r="G33" s="6">
        <v>9.6300000000000008</v>
      </c>
      <c r="H33" s="4">
        <v>71.11</v>
      </c>
      <c r="I33" s="4">
        <v>75.319999999999993</v>
      </c>
      <c r="J33" s="4">
        <v>565377</v>
      </c>
      <c r="K33" s="4">
        <v>5.31</v>
      </c>
      <c r="L33" s="7">
        <v>6.49</v>
      </c>
      <c r="M33" s="7">
        <v>6.55</v>
      </c>
      <c r="N33" s="1">
        <v>0.35899999999999999</v>
      </c>
      <c r="O33" s="10">
        <v>750730</v>
      </c>
    </row>
    <row r="34" spans="1:15" x14ac:dyDescent="0.25">
      <c r="A34" s="3" t="s">
        <v>21</v>
      </c>
      <c r="B34" s="3" t="s">
        <v>48</v>
      </c>
      <c r="C34" s="4">
        <v>73.64</v>
      </c>
      <c r="D34" s="4">
        <v>88.12</v>
      </c>
      <c r="E34" s="6">
        <v>5.85</v>
      </c>
      <c r="F34" s="6">
        <v>3883.98</v>
      </c>
      <c r="G34" s="6">
        <v>8.83</v>
      </c>
      <c r="H34" s="4">
        <v>70.08</v>
      </c>
      <c r="I34" s="4">
        <v>74.08</v>
      </c>
      <c r="J34" s="4">
        <v>430590</v>
      </c>
      <c r="K34" s="4">
        <v>5.13</v>
      </c>
      <c r="L34" s="7">
        <v>5.44</v>
      </c>
      <c r="M34" s="7">
        <v>5.43</v>
      </c>
      <c r="N34" s="1">
        <v>0.318</v>
      </c>
      <c r="O34" s="10">
        <v>209790</v>
      </c>
    </row>
    <row r="35" spans="1:15" x14ac:dyDescent="0.25">
      <c r="A35" s="3" t="s">
        <v>49</v>
      </c>
      <c r="B35" s="3" t="s">
        <v>50</v>
      </c>
      <c r="C35" s="4">
        <v>66.989999999999995</v>
      </c>
      <c r="D35" s="4">
        <v>87.23</v>
      </c>
      <c r="E35" s="6">
        <v>9.18</v>
      </c>
      <c r="F35" s="6">
        <v>21928.59</v>
      </c>
      <c r="G35" s="6">
        <v>7.16</v>
      </c>
      <c r="H35" s="4">
        <v>63.9</v>
      </c>
      <c r="I35" s="4">
        <v>67.78</v>
      </c>
      <c r="J35" s="4">
        <v>479886</v>
      </c>
      <c r="K35" s="4">
        <v>2.7</v>
      </c>
      <c r="L35" s="7">
        <v>8.09</v>
      </c>
      <c r="M35" s="7">
        <v>9.0500000000000007</v>
      </c>
      <c r="N35" s="1">
        <v>0.245</v>
      </c>
      <c r="O35" s="10">
        <v>1325.95</v>
      </c>
    </row>
    <row r="36" spans="1:15" x14ac:dyDescent="0.25">
      <c r="A36" s="3" t="s">
        <v>49</v>
      </c>
      <c r="B36" s="3" t="s">
        <v>51</v>
      </c>
      <c r="C36" s="4">
        <v>65.86</v>
      </c>
      <c r="D36" s="4">
        <v>81.22</v>
      </c>
      <c r="E36" s="6">
        <v>8.44</v>
      </c>
      <c r="F36" s="6">
        <v>23377.24</v>
      </c>
      <c r="G36" s="6">
        <v>6.61</v>
      </c>
      <c r="H36" s="4">
        <v>66.400000000000006</v>
      </c>
      <c r="I36" s="4">
        <v>70.38</v>
      </c>
      <c r="J36" s="4">
        <v>440705</v>
      </c>
      <c r="K36" s="4">
        <v>2.52</v>
      </c>
      <c r="L36" s="7">
        <v>6.23</v>
      </c>
      <c r="M36" s="7">
        <v>7.57</v>
      </c>
      <c r="N36" s="1">
        <v>0.25700000000000001</v>
      </c>
      <c r="O36" s="10">
        <v>1449.21</v>
      </c>
    </row>
    <row r="37" spans="1:15" x14ac:dyDescent="0.25">
      <c r="A37" s="3" t="s">
        <v>49</v>
      </c>
      <c r="B37" s="3" t="s">
        <v>52</v>
      </c>
      <c r="C37" s="4">
        <v>74.09</v>
      </c>
      <c r="D37" s="4">
        <v>91.69</v>
      </c>
      <c r="E37" s="6">
        <v>6.55</v>
      </c>
      <c r="F37" s="6">
        <v>113998.2</v>
      </c>
      <c r="G37" s="5">
        <v>9.06</v>
      </c>
      <c r="H37" s="4">
        <v>68.95</v>
      </c>
      <c r="I37" s="4">
        <v>72.900000000000006</v>
      </c>
      <c r="J37" s="4">
        <v>632941</v>
      </c>
      <c r="K37" s="4">
        <v>2.2200000000000002</v>
      </c>
      <c r="L37" s="7">
        <v>6.06</v>
      </c>
      <c r="M37" s="7">
        <v>6.94</v>
      </c>
      <c r="N37" s="1">
        <v>0.26900000000000002</v>
      </c>
      <c r="O37" s="10">
        <v>3400.49</v>
      </c>
    </row>
    <row r="38" spans="1:15" x14ac:dyDescent="0.25">
      <c r="A38" s="3" t="s">
        <v>49</v>
      </c>
      <c r="B38" s="3" t="s">
        <v>53</v>
      </c>
      <c r="C38" s="4">
        <v>69.03</v>
      </c>
      <c r="D38" s="4">
        <v>92.54</v>
      </c>
      <c r="E38" s="6">
        <v>4.51</v>
      </c>
      <c r="F38" s="6">
        <v>63255.33</v>
      </c>
      <c r="G38" s="6">
        <v>7.88</v>
      </c>
      <c r="H38" s="4">
        <v>64</v>
      </c>
      <c r="I38" s="4">
        <v>67.89</v>
      </c>
      <c r="J38" s="4">
        <v>449291</v>
      </c>
      <c r="K38" s="4">
        <v>2.13</v>
      </c>
      <c r="L38" s="7">
        <v>9.18</v>
      </c>
      <c r="M38" s="7">
        <v>9.94</v>
      </c>
      <c r="N38" s="1">
        <v>0.26700000000000002</v>
      </c>
      <c r="O38" s="10">
        <v>1701.8</v>
      </c>
    </row>
    <row r="39" spans="1:15" x14ac:dyDescent="0.25">
      <c r="A39" s="3" t="s">
        <v>49</v>
      </c>
      <c r="B39" s="3" t="s">
        <v>54</v>
      </c>
      <c r="C39" s="4">
        <v>80.02</v>
      </c>
      <c r="D39" s="4">
        <v>94.95</v>
      </c>
      <c r="E39" s="6">
        <v>5.43</v>
      </c>
      <c r="F39" s="6">
        <v>125060.3</v>
      </c>
      <c r="G39" s="6">
        <v>11.14</v>
      </c>
      <c r="H39" s="4">
        <v>70.5</v>
      </c>
      <c r="I39" s="4">
        <v>74.52</v>
      </c>
      <c r="J39" s="4">
        <v>785113</v>
      </c>
      <c r="K39" s="4">
        <v>1.89</v>
      </c>
      <c r="L39" s="7">
        <v>5.92</v>
      </c>
      <c r="M39" s="7">
        <v>6.76</v>
      </c>
      <c r="N39" s="1">
        <v>0.32500000000000001</v>
      </c>
      <c r="O39" s="10">
        <v>1963.97</v>
      </c>
    </row>
    <row r="40" spans="1:15" x14ac:dyDescent="0.25">
      <c r="A40" s="3" t="s">
        <v>49</v>
      </c>
      <c r="B40" s="3" t="s">
        <v>55</v>
      </c>
      <c r="C40" s="4">
        <v>75.14</v>
      </c>
      <c r="D40" s="4">
        <v>88.29</v>
      </c>
      <c r="E40" s="6">
        <v>3.75</v>
      </c>
      <c r="F40" s="6">
        <v>88628.11</v>
      </c>
      <c r="G40" s="6">
        <v>10.39</v>
      </c>
      <c r="H40" s="4">
        <v>65.72</v>
      </c>
      <c r="I40" s="4">
        <v>69.7</v>
      </c>
      <c r="J40" s="4">
        <v>663533</v>
      </c>
      <c r="K40" s="4">
        <v>1.96</v>
      </c>
      <c r="L40" s="7">
        <v>6.08</v>
      </c>
      <c r="M40" s="7">
        <v>7.25</v>
      </c>
      <c r="N40" s="1">
        <v>0.36</v>
      </c>
      <c r="O40" s="10">
        <v>455.62</v>
      </c>
    </row>
    <row r="41" spans="1:15" x14ac:dyDescent="0.25">
      <c r="A41" s="3" t="s">
        <v>49</v>
      </c>
      <c r="B41" s="3" t="s">
        <v>56</v>
      </c>
      <c r="C41" s="4">
        <v>73.989999999999995</v>
      </c>
      <c r="D41" s="4">
        <v>92.61</v>
      </c>
      <c r="E41" s="6">
        <v>5.65</v>
      </c>
      <c r="F41" s="6">
        <v>26863.08</v>
      </c>
      <c r="G41" s="6">
        <v>8.93</v>
      </c>
      <c r="H41" s="4">
        <v>67.33</v>
      </c>
      <c r="I41" s="4">
        <v>71.290000000000006</v>
      </c>
      <c r="J41" s="4">
        <v>540786</v>
      </c>
      <c r="K41" s="4">
        <v>2.1800000000000002</v>
      </c>
      <c r="L41" s="7">
        <v>7.12</v>
      </c>
      <c r="M41" s="7">
        <v>7.45</v>
      </c>
      <c r="N41" s="1">
        <v>0.32400000000000001</v>
      </c>
      <c r="O41" s="10">
        <v>734.87</v>
      </c>
    </row>
    <row r="42" spans="1:15" x14ac:dyDescent="0.25">
      <c r="A42" s="3" t="s">
        <v>49</v>
      </c>
      <c r="B42" s="3" t="s">
        <v>57</v>
      </c>
      <c r="C42" s="4">
        <v>82.89</v>
      </c>
      <c r="D42" s="4">
        <v>94.47</v>
      </c>
      <c r="E42" s="6">
        <v>2.36</v>
      </c>
      <c r="F42" s="6">
        <v>73052.84</v>
      </c>
      <c r="G42" s="6">
        <v>11.86</v>
      </c>
      <c r="H42" s="4">
        <v>71.209999999999994</v>
      </c>
      <c r="I42" s="4">
        <v>75.52</v>
      </c>
      <c r="J42" s="4">
        <v>828278</v>
      </c>
      <c r="K42" s="4">
        <v>3.13</v>
      </c>
      <c r="L42" s="7">
        <v>5.09</v>
      </c>
      <c r="M42" s="7">
        <v>5.81</v>
      </c>
      <c r="N42" s="1">
        <v>0.39500000000000002</v>
      </c>
      <c r="O42" s="10">
        <v>1399.5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63BC-F5BB-456A-A8DB-AA577516DEA9}">
  <dimension ref="A1:H43"/>
  <sheetViews>
    <sheetView workbookViewId="0">
      <selection activeCell="C2" sqref="C2:C42"/>
    </sheetView>
  </sheetViews>
  <sheetFormatPr defaultRowHeight="12.75" x14ac:dyDescent="0.2"/>
  <cols>
    <col min="2" max="2" width="18.140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" x14ac:dyDescent="0.25">
      <c r="A2" s="3" t="s">
        <v>14</v>
      </c>
      <c r="B2" s="3" t="s">
        <v>15</v>
      </c>
      <c r="C2">
        <v>2.86</v>
      </c>
      <c r="D2">
        <v>2.41</v>
      </c>
      <c r="E2" s="4">
        <v>3.91</v>
      </c>
      <c r="F2" s="4">
        <v>3.63</v>
      </c>
      <c r="G2" s="4">
        <v>4.3899999999999997</v>
      </c>
    </row>
    <row r="3" spans="1:7" ht="15" x14ac:dyDescent="0.25">
      <c r="A3" s="3" t="s">
        <v>14</v>
      </c>
      <c r="B3" s="3" t="s">
        <v>16</v>
      </c>
      <c r="C3">
        <v>1.5</v>
      </c>
      <c r="D3">
        <v>1.63</v>
      </c>
      <c r="E3" s="4">
        <v>2.5099999999999998</v>
      </c>
      <c r="F3" s="4">
        <v>2.2799999999999998</v>
      </c>
      <c r="G3" s="4">
        <v>2.4500000000000002</v>
      </c>
    </row>
    <row r="4" spans="1:7" ht="15" x14ac:dyDescent="0.25">
      <c r="A4" s="3" t="s">
        <v>14</v>
      </c>
      <c r="B4" s="3" t="s">
        <v>17</v>
      </c>
      <c r="C4">
        <v>2.1800000000000002</v>
      </c>
      <c r="D4">
        <v>2.2400000000000002</v>
      </c>
      <c r="E4" s="4">
        <v>3.71</v>
      </c>
      <c r="F4" s="4">
        <v>3.08</v>
      </c>
      <c r="G4" s="4">
        <v>4.38</v>
      </c>
    </row>
    <row r="5" spans="1:7" ht="15" x14ac:dyDescent="0.25">
      <c r="A5" s="3" t="s">
        <v>14</v>
      </c>
      <c r="B5" s="3" t="s">
        <v>18</v>
      </c>
      <c r="C5">
        <v>1.97</v>
      </c>
      <c r="D5">
        <v>3.08</v>
      </c>
      <c r="E5" s="4">
        <v>3.82</v>
      </c>
      <c r="F5" s="4">
        <v>2.91</v>
      </c>
      <c r="G5" s="4">
        <v>3.63</v>
      </c>
    </row>
    <row r="6" spans="1:7" ht="15" x14ac:dyDescent="0.25">
      <c r="A6" s="3" t="s">
        <v>14</v>
      </c>
      <c r="B6" s="3" t="s">
        <v>19</v>
      </c>
      <c r="C6">
        <v>1.78</v>
      </c>
      <c r="D6">
        <v>2</v>
      </c>
      <c r="E6" s="4">
        <v>2.8</v>
      </c>
      <c r="F6" s="4">
        <v>2.0299999999999998</v>
      </c>
      <c r="G6" s="4">
        <v>3.55</v>
      </c>
    </row>
    <row r="7" spans="1:7" ht="15" x14ac:dyDescent="0.25">
      <c r="A7" s="3" t="s">
        <v>14</v>
      </c>
      <c r="B7" s="3" t="s">
        <v>20</v>
      </c>
      <c r="C7">
        <v>2.1800000000000002</v>
      </c>
      <c r="D7">
        <v>2.63</v>
      </c>
      <c r="E7" s="4">
        <v>4.78</v>
      </c>
      <c r="F7" s="4">
        <v>2.62</v>
      </c>
      <c r="G7" s="4">
        <v>3.39</v>
      </c>
    </row>
    <row r="8" spans="1:7" ht="15" x14ac:dyDescent="0.25">
      <c r="A8" s="3" t="s">
        <v>21</v>
      </c>
      <c r="B8" s="3" t="s">
        <v>22</v>
      </c>
      <c r="C8">
        <v>4.0599999999999996</v>
      </c>
      <c r="D8">
        <v>4.7300000000000004</v>
      </c>
      <c r="E8" s="4">
        <v>7.03</v>
      </c>
      <c r="F8" s="4">
        <v>5.3</v>
      </c>
      <c r="G8" s="4">
        <v>5.68</v>
      </c>
    </row>
    <row r="9" spans="1:7" ht="15" x14ac:dyDescent="0.25">
      <c r="A9" s="3" t="s">
        <v>21</v>
      </c>
      <c r="B9" s="3" t="s">
        <v>23</v>
      </c>
      <c r="C9">
        <v>4.8899999999999997</v>
      </c>
      <c r="D9">
        <v>4.8099999999999996</v>
      </c>
      <c r="E9" s="4">
        <v>7.42</v>
      </c>
      <c r="F9" s="4">
        <v>5.98</v>
      </c>
      <c r="G9" s="4">
        <v>5.82</v>
      </c>
    </row>
    <row r="10" spans="1:7" ht="15" x14ac:dyDescent="0.25">
      <c r="A10" s="3" t="s">
        <v>21</v>
      </c>
      <c r="B10" s="3" t="s">
        <v>24</v>
      </c>
      <c r="C10">
        <v>4.75</v>
      </c>
      <c r="D10">
        <v>6.2</v>
      </c>
      <c r="E10" s="4">
        <v>9.5399999999999991</v>
      </c>
      <c r="F10" s="4">
        <v>7.02</v>
      </c>
      <c r="G10" s="4">
        <v>5.37</v>
      </c>
    </row>
    <row r="11" spans="1:7" ht="15" x14ac:dyDescent="0.25">
      <c r="A11" s="3" t="s">
        <v>21</v>
      </c>
      <c r="B11" s="3" t="s">
        <v>25</v>
      </c>
      <c r="C11">
        <v>5.07</v>
      </c>
      <c r="D11">
        <v>5.53</v>
      </c>
      <c r="E11" s="4">
        <v>8.3000000000000007</v>
      </c>
      <c r="F11" s="4">
        <v>5.19</v>
      </c>
      <c r="G11" s="4">
        <v>5.8</v>
      </c>
    </row>
    <row r="12" spans="1:7" ht="15" x14ac:dyDescent="0.25">
      <c r="A12" s="3" t="s">
        <v>21</v>
      </c>
      <c r="B12" s="3" t="s">
        <v>26</v>
      </c>
      <c r="C12">
        <v>4.0599999999999996</v>
      </c>
      <c r="D12">
        <v>5</v>
      </c>
      <c r="E12" s="4">
        <v>7.74</v>
      </c>
      <c r="F12" s="4">
        <v>5.76</v>
      </c>
      <c r="G12" s="4">
        <v>5.0199999999999996</v>
      </c>
    </row>
    <row r="13" spans="1:7" ht="15" x14ac:dyDescent="0.25">
      <c r="A13" s="3" t="s">
        <v>21</v>
      </c>
      <c r="B13" s="3" t="s">
        <v>27</v>
      </c>
      <c r="C13">
        <v>5.64</v>
      </c>
      <c r="D13">
        <v>7.12</v>
      </c>
      <c r="E13" s="4">
        <v>10.45</v>
      </c>
      <c r="F13" s="4">
        <v>8.65</v>
      </c>
      <c r="G13" s="4">
        <v>5.95</v>
      </c>
    </row>
    <row r="14" spans="1:7" ht="15" x14ac:dyDescent="0.25">
      <c r="A14" s="3" t="s">
        <v>21</v>
      </c>
      <c r="B14" s="3" t="s">
        <v>28</v>
      </c>
      <c r="C14">
        <v>5.1100000000000003</v>
      </c>
      <c r="D14">
        <v>5.87</v>
      </c>
      <c r="E14" s="4">
        <v>6.74</v>
      </c>
      <c r="F14" s="4">
        <v>6.1</v>
      </c>
      <c r="G14" s="4">
        <v>5.78</v>
      </c>
    </row>
    <row r="15" spans="1:7" ht="15" x14ac:dyDescent="0.25">
      <c r="A15" s="3" t="s">
        <v>21</v>
      </c>
      <c r="B15" s="3" t="s">
        <v>29</v>
      </c>
      <c r="C15">
        <v>3.51</v>
      </c>
      <c r="D15">
        <v>3.73</v>
      </c>
      <c r="E15" s="4">
        <v>6.63</v>
      </c>
      <c r="F15" s="4">
        <v>6.43</v>
      </c>
      <c r="G15" s="4">
        <v>5.83</v>
      </c>
    </row>
    <row r="16" spans="1:7" ht="15" x14ac:dyDescent="0.25">
      <c r="A16" s="3" t="s">
        <v>21</v>
      </c>
      <c r="B16" s="3" t="s">
        <v>30</v>
      </c>
      <c r="C16">
        <v>5.41</v>
      </c>
      <c r="D16">
        <v>6.19</v>
      </c>
      <c r="E16" s="4">
        <v>9.0399999999999991</v>
      </c>
      <c r="F16" s="4">
        <v>7.28</v>
      </c>
      <c r="G16" s="4">
        <v>5.65</v>
      </c>
    </row>
    <row r="17" spans="1:7" ht="15" x14ac:dyDescent="0.25">
      <c r="A17" s="3" t="s">
        <v>21</v>
      </c>
      <c r="B17" s="3" t="s">
        <v>31</v>
      </c>
      <c r="C17">
        <v>4.17</v>
      </c>
      <c r="D17">
        <v>4.9400000000000004</v>
      </c>
      <c r="E17" s="4">
        <v>9.8800000000000008</v>
      </c>
      <c r="F17" s="4">
        <v>7.9</v>
      </c>
      <c r="G17" s="4">
        <v>5.95</v>
      </c>
    </row>
    <row r="18" spans="1:7" ht="15" x14ac:dyDescent="0.25">
      <c r="A18" s="3" t="s">
        <v>21</v>
      </c>
      <c r="B18" s="3" t="s">
        <v>32</v>
      </c>
      <c r="C18">
        <v>4.01</v>
      </c>
      <c r="D18">
        <v>5.09</v>
      </c>
      <c r="E18" s="4">
        <v>7.43</v>
      </c>
      <c r="F18" s="4">
        <v>5.55</v>
      </c>
      <c r="G18" s="4">
        <v>5.43</v>
      </c>
    </row>
    <row r="19" spans="1:7" ht="15" x14ac:dyDescent="0.25">
      <c r="A19" s="3" t="s">
        <v>21</v>
      </c>
      <c r="B19" s="3" t="s">
        <v>33</v>
      </c>
      <c r="C19">
        <v>4.28</v>
      </c>
      <c r="D19">
        <v>3.97</v>
      </c>
      <c r="E19" s="4">
        <v>5.99</v>
      </c>
      <c r="F19" s="4">
        <v>5.4</v>
      </c>
      <c r="G19" s="4">
        <v>5.46</v>
      </c>
    </row>
    <row r="20" spans="1:7" ht="15" x14ac:dyDescent="0.25">
      <c r="A20" s="3" t="s">
        <v>21</v>
      </c>
      <c r="B20" s="3" t="s">
        <v>34</v>
      </c>
      <c r="C20">
        <v>4.8099999999999996</v>
      </c>
      <c r="D20">
        <v>4.16</v>
      </c>
      <c r="E20" s="4">
        <v>7.06</v>
      </c>
      <c r="F20" s="4">
        <v>6.23</v>
      </c>
      <c r="G20" s="4">
        <v>6.19</v>
      </c>
    </row>
    <row r="21" spans="1:7" ht="15" x14ac:dyDescent="0.25">
      <c r="A21" s="3" t="s">
        <v>21</v>
      </c>
      <c r="B21" s="3" t="s">
        <v>35</v>
      </c>
      <c r="C21">
        <v>4.08</v>
      </c>
      <c r="D21">
        <v>3.45</v>
      </c>
      <c r="E21" s="4">
        <v>6.72</v>
      </c>
      <c r="F21" s="4">
        <v>5.07</v>
      </c>
      <c r="G21" s="4">
        <v>5.84</v>
      </c>
    </row>
    <row r="22" spans="1:7" ht="15" x14ac:dyDescent="0.25">
      <c r="A22" s="3" t="s">
        <v>21</v>
      </c>
      <c r="B22" s="3" t="s">
        <v>36</v>
      </c>
      <c r="C22">
        <v>3.79</v>
      </c>
      <c r="D22">
        <v>4.8</v>
      </c>
      <c r="E22" s="4">
        <v>6.73</v>
      </c>
      <c r="F22" s="4">
        <v>5.93</v>
      </c>
      <c r="G22" s="4">
        <v>5.0999999999999996</v>
      </c>
    </row>
    <row r="23" spans="1:7" ht="15" x14ac:dyDescent="0.25">
      <c r="A23" s="3" t="s">
        <v>21</v>
      </c>
      <c r="B23" s="3" t="s">
        <v>37</v>
      </c>
      <c r="C23">
        <v>2.2599999999999998</v>
      </c>
      <c r="D23">
        <v>2.38</v>
      </c>
      <c r="E23" s="4">
        <v>4.3</v>
      </c>
      <c r="F23" s="4">
        <v>4.3600000000000003</v>
      </c>
      <c r="G23" s="4">
        <v>4.5999999999999996</v>
      </c>
    </row>
    <row r="24" spans="1:7" ht="15" x14ac:dyDescent="0.25">
      <c r="A24" s="3" t="s">
        <v>21</v>
      </c>
      <c r="B24" s="3" t="s">
        <v>38</v>
      </c>
      <c r="C24">
        <v>5.07</v>
      </c>
      <c r="D24">
        <v>6.04</v>
      </c>
      <c r="E24" s="4">
        <v>7.81</v>
      </c>
      <c r="F24" s="4">
        <v>7.48</v>
      </c>
      <c r="G24" s="4">
        <v>6.25</v>
      </c>
    </row>
    <row r="25" spans="1:7" ht="15" x14ac:dyDescent="0.25">
      <c r="A25" s="3" t="s">
        <v>21</v>
      </c>
      <c r="B25" s="3" t="s">
        <v>39</v>
      </c>
      <c r="C25">
        <v>4.3899999999999997</v>
      </c>
      <c r="D25">
        <v>4.32</v>
      </c>
      <c r="E25" s="4">
        <v>5.77</v>
      </c>
      <c r="F25" s="4">
        <v>6.04</v>
      </c>
      <c r="G25" s="4">
        <v>5.22</v>
      </c>
    </row>
    <row r="26" spans="1:7" ht="15" x14ac:dyDescent="0.25">
      <c r="A26" s="3" t="s">
        <v>21</v>
      </c>
      <c r="B26" s="3" t="s">
        <v>40</v>
      </c>
      <c r="C26">
        <v>2.95</v>
      </c>
      <c r="D26">
        <v>3.08</v>
      </c>
      <c r="E26" s="4">
        <v>5.35</v>
      </c>
      <c r="F26" s="4">
        <v>4.8600000000000003</v>
      </c>
      <c r="G26" s="4">
        <v>7.98</v>
      </c>
    </row>
    <row r="27" spans="1:7" ht="15" x14ac:dyDescent="0.25">
      <c r="A27" s="3" t="s">
        <v>21</v>
      </c>
      <c r="B27" s="3" t="s">
        <v>41</v>
      </c>
      <c r="C27">
        <v>3.65</v>
      </c>
      <c r="D27">
        <v>4.9000000000000004</v>
      </c>
      <c r="E27" s="4">
        <v>8.4600000000000009</v>
      </c>
      <c r="F27" s="4">
        <v>5.23</v>
      </c>
      <c r="G27" s="4">
        <v>5.57</v>
      </c>
    </row>
    <row r="28" spans="1:7" ht="15" x14ac:dyDescent="0.25">
      <c r="A28" s="3" t="s">
        <v>21</v>
      </c>
      <c r="B28" s="3" t="s">
        <v>42</v>
      </c>
      <c r="C28">
        <v>2.82</v>
      </c>
      <c r="D28">
        <v>2.92</v>
      </c>
      <c r="E28" s="4">
        <v>4.55</v>
      </c>
      <c r="F28" s="4">
        <v>3.64</v>
      </c>
      <c r="G28" s="4">
        <v>5.48</v>
      </c>
    </row>
    <row r="29" spans="1:7" ht="15" x14ac:dyDescent="0.25">
      <c r="A29" s="3" t="s">
        <v>21</v>
      </c>
      <c r="B29" s="3" t="s">
        <v>43</v>
      </c>
      <c r="C29">
        <v>4.5199999999999996</v>
      </c>
      <c r="D29">
        <v>5.71</v>
      </c>
      <c r="E29" s="4">
        <v>7.97</v>
      </c>
      <c r="F29" s="4">
        <v>6.85</v>
      </c>
      <c r="G29" s="4">
        <v>6.56</v>
      </c>
    </row>
    <row r="30" spans="1:7" ht="15" x14ac:dyDescent="0.25">
      <c r="A30" s="3" t="s">
        <v>21</v>
      </c>
      <c r="B30" s="3" t="s">
        <v>44</v>
      </c>
      <c r="C30">
        <v>1.33</v>
      </c>
      <c r="D30">
        <v>1.79</v>
      </c>
      <c r="E30" s="4">
        <v>3.33</v>
      </c>
      <c r="F30" s="4">
        <v>2.27</v>
      </c>
      <c r="G30" s="4">
        <v>4.88</v>
      </c>
    </row>
    <row r="31" spans="1:7" ht="15" x14ac:dyDescent="0.25">
      <c r="A31" s="3" t="s">
        <v>21</v>
      </c>
      <c r="B31" s="3" t="s">
        <v>45</v>
      </c>
      <c r="C31">
        <v>1.26</v>
      </c>
      <c r="D31">
        <v>1.55</v>
      </c>
      <c r="E31" s="4">
        <v>2.15</v>
      </c>
      <c r="F31" s="4">
        <v>1.99</v>
      </c>
      <c r="G31" s="4">
        <v>4.5199999999999996</v>
      </c>
    </row>
    <row r="32" spans="1:7" ht="15" x14ac:dyDescent="0.25">
      <c r="A32" s="3" t="s">
        <v>21</v>
      </c>
      <c r="B32" s="3" t="s">
        <v>46</v>
      </c>
      <c r="C32">
        <v>2.66</v>
      </c>
      <c r="D32">
        <v>3.23</v>
      </c>
      <c r="E32" s="4">
        <v>4.63</v>
      </c>
      <c r="F32" s="4">
        <v>2.98</v>
      </c>
      <c r="G32" s="4">
        <v>5.43</v>
      </c>
    </row>
    <row r="33" spans="1:8" ht="15" x14ac:dyDescent="0.25">
      <c r="A33" s="3" t="s">
        <v>21</v>
      </c>
      <c r="B33" s="3" t="s">
        <v>47</v>
      </c>
      <c r="C33">
        <v>4.17</v>
      </c>
      <c r="D33">
        <v>5.35</v>
      </c>
      <c r="E33" s="4">
        <v>7.92</v>
      </c>
      <c r="F33" s="4">
        <v>5.14</v>
      </c>
      <c r="G33" s="4">
        <v>5.31</v>
      </c>
    </row>
    <row r="34" spans="1:8" ht="15" x14ac:dyDescent="0.25">
      <c r="A34" s="3" t="s">
        <v>21</v>
      </c>
      <c r="B34" s="3" t="s">
        <v>48</v>
      </c>
      <c r="C34">
        <v>3.93</v>
      </c>
      <c r="D34">
        <v>5.93</v>
      </c>
      <c r="E34" s="4">
        <v>6.4</v>
      </c>
      <c r="F34" s="4">
        <v>5.55</v>
      </c>
      <c r="G34" s="4">
        <v>5.13</v>
      </c>
    </row>
    <row r="35" spans="1:8" ht="15" x14ac:dyDescent="0.25">
      <c r="A35" s="3" t="s">
        <v>49</v>
      </c>
      <c r="B35" s="3" t="s">
        <v>50</v>
      </c>
      <c r="C35">
        <v>3.6</v>
      </c>
      <c r="D35">
        <v>4.37</v>
      </c>
      <c r="E35" s="4">
        <v>4.3899999999999997</v>
      </c>
      <c r="F35" s="4">
        <v>4.6900000000000004</v>
      </c>
      <c r="G35" s="4">
        <v>2.7</v>
      </c>
    </row>
    <row r="36" spans="1:8" ht="15" x14ac:dyDescent="0.25">
      <c r="A36" s="3" t="s">
        <v>49</v>
      </c>
      <c r="B36" s="3" t="s">
        <v>51</v>
      </c>
      <c r="C36">
        <v>3.14</v>
      </c>
      <c r="D36">
        <v>3.87</v>
      </c>
      <c r="E36" s="4">
        <v>3.45</v>
      </c>
      <c r="F36" s="4">
        <v>4.82</v>
      </c>
      <c r="G36" s="4">
        <v>2.52</v>
      </c>
    </row>
    <row r="37" spans="1:8" ht="15" x14ac:dyDescent="0.25">
      <c r="A37" s="3" t="s">
        <v>49</v>
      </c>
      <c r="B37" s="3" t="s">
        <v>52</v>
      </c>
      <c r="C37">
        <v>1.84</v>
      </c>
      <c r="D37">
        <v>2.65</v>
      </c>
      <c r="E37" s="4">
        <v>2.2799999999999998</v>
      </c>
      <c r="F37" s="4">
        <v>2.59</v>
      </c>
      <c r="G37" s="4">
        <v>2.2200000000000002</v>
      </c>
    </row>
    <row r="38" spans="1:8" ht="15" x14ac:dyDescent="0.25">
      <c r="A38" s="3" t="s">
        <v>49</v>
      </c>
      <c r="B38" s="3" t="s">
        <v>53</v>
      </c>
      <c r="C38">
        <v>2.44</v>
      </c>
      <c r="D38">
        <v>3.03</v>
      </c>
      <c r="E38" s="4">
        <v>2.9</v>
      </c>
      <c r="F38" s="4">
        <v>3.23</v>
      </c>
      <c r="G38" s="4">
        <v>2.13</v>
      </c>
    </row>
    <row r="39" spans="1:8" ht="15" x14ac:dyDescent="0.25">
      <c r="A39" s="3" t="s">
        <v>49</v>
      </c>
      <c r="B39" s="3" t="s">
        <v>54</v>
      </c>
      <c r="C39">
        <v>1.42</v>
      </c>
      <c r="D39">
        <v>2.16</v>
      </c>
      <c r="E39" s="4">
        <v>1.71</v>
      </c>
      <c r="F39" s="4">
        <v>1.58</v>
      </c>
      <c r="G39" s="4">
        <v>1.89</v>
      </c>
    </row>
    <row r="40" spans="1:8" ht="15" x14ac:dyDescent="0.25">
      <c r="A40" s="3" t="s">
        <v>49</v>
      </c>
      <c r="B40" s="3" t="s">
        <v>55</v>
      </c>
      <c r="C40">
        <v>2.02</v>
      </c>
      <c r="D40">
        <v>2.46</v>
      </c>
      <c r="E40" s="4">
        <v>2.04</v>
      </c>
      <c r="F40" s="4">
        <v>2.19</v>
      </c>
      <c r="G40" s="4">
        <v>1.96</v>
      </c>
    </row>
    <row r="41" spans="1:8" ht="15" x14ac:dyDescent="0.25">
      <c r="A41" s="3" t="s">
        <v>49</v>
      </c>
      <c r="B41" s="3" t="s">
        <v>56</v>
      </c>
      <c r="C41">
        <v>1.29</v>
      </c>
      <c r="D41">
        <v>1.99</v>
      </c>
      <c r="E41" s="4">
        <v>2.42</v>
      </c>
      <c r="F41" s="4">
        <v>2.2999999999999998</v>
      </c>
      <c r="G41" s="4">
        <v>2.1800000000000002</v>
      </c>
    </row>
    <row r="42" spans="1:8" ht="15" x14ac:dyDescent="0.25">
      <c r="A42" s="3" t="s">
        <v>49</v>
      </c>
      <c r="B42" s="3" t="s">
        <v>57</v>
      </c>
      <c r="C42">
        <v>1.51</v>
      </c>
      <c r="D42">
        <v>1.89</v>
      </c>
      <c r="E42" s="4">
        <v>1.5</v>
      </c>
      <c r="F42" s="4">
        <v>1.92</v>
      </c>
      <c r="G42" s="4">
        <v>3.13</v>
      </c>
    </row>
    <row r="43" spans="1:8" x14ac:dyDescent="0.2">
      <c r="H43" s="9" t="s">
        <v>66</v>
      </c>
    </row>
  </sheetData>
  <hyperlinks>
    <hyperlink ref="H43" r:id="rId1" display="https://www.bps.go.id/id/statistics-table/2/MjI2OSMy/prevalensi-ketidakcukupan-konsumsi-pangan--persen--per-kabupaten-kota--persen-.html" xr:uid="{D445B066-1721-4252-834B-19C13AE9933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A65B-E29B-4E48-AD99-AF485D374E6F}">
  <dimension ref="A1:M45"/>
  <sheetViews>
    <sheetView topLeftCell="A4" zoomScaleNormal="100" workbookViewId="0">
      <selection activeCell="A2" sqref="A2:B42"/>
    </sheetView>
  </sheetViews>
  <sheetFormatPr defaultRowHeight="12.75" x14ac:dyDescent="0.2"/>
  <cols>
    <col min="2" max="2" width="18.28515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.75" x14ac:dyDescent="0.25">
      <c r="A2" s="3" t="s">
        <v>14</v>
      </c>
      <c r="B2" s="3" t="s">
        <v>15</v>
      </c>
      <c r="C2" s="6">
        <v>14.87</v>
      </c>
      <c r="D2" s="6">
        <v>15.06</v>
      </c>
      <c r="E2" s="6">
        <v>14.11</v>
      </c>
      <c r="F2" s="6">
        <v>13.13</v>
      </c>
      <c r="G2" s="5">
        <v>13.03</v>
      </c>
    </row>
    <row r="3" spans="1:7" ht="15.75" x14ac:dyDescent="0.25">
      <c r="A3" s="3" t="s">
        <v>14</v>
      </c>
      <c r="B3" s="3" t="s">
        <v>16</v>
      </c>
      <c r="C3" s="6">
        <v>3.43</v>
      </c>
      <c r="D3" s="6">
        <v>3.56</v>
      </c>
      <c r="E3" s="6">
        <v>3.52</v>
      </c>
      <c r="F3" s="5">
        <v>3.1</v>
      </c>
      <c r="G3" s="5">
        <v>3.03</v>
      </c>
    </row>
    <row r="4" spans="1:7" ht="15.75" x14ac:dyDescent="0.25">
      <c r="A4" s="3" t="s">
        <v>14</v>
      </c>
      <c r="B4" s="3" t="s">
        <v>17</v>
      </c>
      <c r="C4" s="6">
        <v>4.16</v>
      </c>
      <c r="D4" s="6">
        <v>4.28</v>
      </c>
      <c r="E4" s="5">
        <v>4.3</v>
      </c>
      <c r="F4" s="5">
        <v>4.2</v>
      </c>
      <c r="G4" s="5">
        <v>4.09</v>
      </c>
    </row>
    <row r="5" spans="1:7" ht="15.75" x14ac:dyDescent="0.25">
      <c r="A5" s="3" t="s">
        <v>14</v>
      </c>
      <c r="B5" s="3" t="s">
        <v>18</v>
      </c>
      <c r="C5" s="6">
        <v>4.51</v>
      </c>
      <c r="D5" s="6">
        <v>4.9400000000000004</v>
      </c>
      <c r="E5" s="6">
        <v>4.9000000000000004</v>
      </c>
      <c r="F5" s="6">
        <v>4.68</v>
      </c>
      <c r="G5" s="6">
        <v>4.63</v>
      </c>
    </row>
    <row r="6" spans="1:7" ht="15.75" x14ac:dyDescent="0.25">
      <c r="A6" s="3" t="s">
        <v>14</v>
      </c>
      <c r="B6" s="3" t="s">
        <v>19</v>
      </c>
      <c r="C6" s="6">
        <v>4.25</v>
      </c>
      <c r="D6" s="6">
        <v>4.3099999999999996</v>
      </c>
      <c r="E6" s="6">
        <v>4.22</v>
      </c>
      <c r="F6" s="6">
        <v>4.09</v>
      </c>
      <c r="G6" s="6">
        <v>3.94</v>
      </c>
    </row>
    <row r="7" spans="1:7" ht="15.75" x14ac:dyDescent="0.25">
      <c r="A7" s="3" t="s">
        <v>14</v>
      </c>
      <c r="B7" s="3" t="s">
        <v>20</v>
      </c>
      <c r="C7" s="6">
        <v>6.78</v>
      </c>
      <c r="D7" s="6">
        <v>7.24</v>
      </c>
      <c r="E7" s="6">
        <v>7.24</v>
      </c>
      <c r="F7" s="6">
        <v>6.78</v>
      </c>
      <c r="G7" s="6">
        <v>6.44</v>
      </c>
    </row>
    <row r="8" spans="1:7" ht="15.75" x14ac:dyDescent="0.25">
      <c r="A8" s="3" t="s">
        <v>21</v>
      </c>
      <c r="B8" s="3" t="s">
        <v>22</v>
      </c>
      <c r="C8" s="6">
        <v>7.69</v>
      </c>
      <c r="D8" s="6">
        <v>8.1300000000000008</v>
      </c>
      <c r="E8" s="6">
        <v>7.73</v>
      </c>
      <c r="F8" s="6">
        <v>7.27</v>
      </c>
      <c r="G8" s="5">
        <v>7.05</v>
      </c>
    </row>
    <row r="9" spans="1:7" ht="15.75" x14ac:dyDescent="0.25">
      <c r="A9" s="3" t="s">
        <v>21</v>
      </c>
      <c r="B9" s="3" t="s">
        <v>23</v>
      </c>
      <c r="C9" s="6">
        <v>7.09</v>
      </c>
      <c r="D9" s="6">
        <v>7.7</v>
      </c>
      <c r="E9" s="6">
        <v>7.34</v>
      </c>
      <c r="F9" s="6">
        <v>7.01</v>
      </c>
      <c r="G9" s="6">
        <v>6.87</v>
      </c>
    </row>
    <row r="10" spans="1:7" ht="15.75" x14ac:dyDescent="0.25">
      <c r="A10" s="3" t="s">
        <v>21</v>
      </c>
      <c r="B10" s="3" t="s">
        <v>24</v>
      </c>
      <c r="C10" s="6">
        <v>10.36</v>
      </c>
      <c r="D10" s="6">
        <v>11.18</v>
      </c>
      <c r="E10" s="6">
        <v>10.55</v>
      </c>
      <c r="F10" s="6">
        <v>10.220000000000001</v>
      </c>
      <c r="G10" s="6">
        <v>10.14</v>
      </c>
    </row>
    <row r="11" spans="1:7" ht="15.75" x14ac:dyDescent="0.25">
      <c r="A11" s="3" t="s">
        <v>21</v>
      </c>
      <c r="B11" s="3" t="s">
        <v>25</v>
      </c>
      <c r="C11" s="6">
        <v>6.91</v>
      </c>
      <c r="D11" s="6">
        <v>7.15</v>
      </c>
      <c r="E11" s="6">
        <v>6.8</v>
      </c>
      <c r="F11" s="6">
        <v>6.4</v>
      </c>
      <c r="G11" s="6">
        <v>6.19</v>
      </c>
    </row>
    <row r="12" spans="1:7" ht="15.75" x14ac:dyDescent="0.25">
      <c r="A12" s="3" t="s">
        <v>21</v>
      </c>
      <c r="B12" s="3" t="s">
        <v>26</v>
      </c>
      <c r="C12" s="6">
        <v>9.98</v>
      </c>
      <c r="D12" s="6">
        <v>10.65</v>
      </c>
      <c r="E12" s="6">
        <v>10.42</v>
      </c>
      <c r="F12" s="6">
        <v>9.77</v>
      </c>
      <c r="G12" s="6">
        <v>9.68</v>
      </c>
    </row>
    <row r="13" spans="1:7" ht="15.75" x14ac:dyDescent="0.25">
      <c r="A13" s="3" t="s">
        <v>21</v>
      </c>
      <c r="B13" s="3" t="s">
        <v>27</v>
      </c>
      <c r="C13" s="6">
        <v>10.34</v>
      </c>
      <c r="D13" s="6">
        <v>11.15</v>
      </c>
      <c r="E13" s="6">
        <v>10.73</v>
      </c>
      <c r="F13" s="6">
        <v>10.28</v>
      </c>
      <c r="G13" s="6">
        <v>10.23</v>
      </c>
    </row>
    <row r="14" spans="1:7" ht="15.75" x14ac:dyDescent="0.25">
      <c r="A14" s="3" t="s">
        <v>21</v>
      </c>
      <c r="B14" s="3" t="s">
        <v>28</v>
      </c>
      <c r="C14" s="6">
        <v>7.62</v>
      </c>
      <c r="D14" s="6">
        <v>7.97</v>
      </c>
      <c r="E14" s="6">
        <v>7.72</v>
      </c>
      <c r="F14" s="6">
        <v>7.42</v>
      </c>
      <c r="G14" s="6">
        <v>7.39</v>
      </c>
    </row>
    <row r="15" spans="1:7" ht="15.75" x14ac:dyDescent="0.25">
      <c r="A15" s="3" t="s">
        <v>21</v>
      </c>
      <c r="B15" s="3" t="s">
        <v>29</v>
      </c>
      <c r="C15" s="6">
        <v>12.82</v>
      </c>
      <c r="D15" s="6">
        <v>13.1</v>
      </c>
      <c r="E15" s="6">
        <v>12.76</v>
      </c>
      <c r="F15" s="6">
        <v>12.12</v>
      </c>
      <c r="G15" s="6">
        <v>11.88</v>
      </c>
    </row>
    <row r="16" spans="1:7" ht="15.75" x14ac:dyDescent="0.25">
      <c r="A16" s="3" t="s">
        <v>21</v>
      </c>
      <c r="B16" s="3" t="s">
        <v>30</v>
      </c>
      <c r="C16" s="6">
        <v>11.24</v>
      </c>
      <c r="D16" s="6">
        <v>12.3</v>
      </c>
      <c r="E16" s="6">
        <v>12.01</v>
      </c>
      <c r="F16" s="6">
        <v>11.2</v>
      </c>
      <c r="G16" s="6">
        <v>11</v>
      </c>
    </row>
    <row r="17" spans="1:7" ht="15.75" x14ac:dyDescent="0.25">
      <c r="A17" s="3" t="s">
        <v>21</v>
      </c>
      <c r="B17" s="3" t="s">
        <v>31</v>
      </c>
      <c r="C17" s="6">
        <v>11.43</v>
      </c>
      <c r="D17" s="6">
        <v>12.33</v>
      </c>
      <c r="E17" s="6">
        <v>11.94</v>
      </c>
      <c r="F17" s="6">
        <v>11.21</v>
      </c>
      <c r="G17" s="6">
        <v>10.82</v>
      </c>
    </row>
    <row r="18" spans="1:7" ht="15.75" x14ac:dyDescent="0.25">
      <c r="A18" s="3" t="s">
        <v>21</v>
      </c>
      <c r="B18" s="3" t="s">
        <v>32</v>
      </c>
      <c r="C18" s="6">
        <v>10.26</v>
      </c>
      <c r="D18" s="6">
        <v>10.71</v>
      </c>
      <c r="E18" s="6">
        <v>10.14</v>
      </c>
      <c r="F18" s="6">
        <v>9.36</v>
      </c>
      <c r="G18" s="5">
        <v>9.1</v>
      </c>
    </row>
    <row r="19" spans="1:7" ht="15.75" x14ac:dyDescent="0.25">
      <c r="A19" s="3" t="s">
        <v>21</v>
      </c>
      <c r="B19" s="3" t="s">
        <v>33</v>
      </c>
      <c r="C19" s="6">
        <v>12.7</v>
      </c>
      <c r="D19" s="6">
        <v>13.04</v>
      </c>
      <c r="E19" s="6">
        <v>12.77</v>
      </c>
      <c r="F19" s="6">
        <v>12.13</v>
      </c>
      <c r="G19" s="6">
        <v>11.93</v>
      </c>
    </row>
    <row r="20" spans="1:7" ht="15.75" x14ac:dyDescent="0.25">
      <c r="A20" s="3" t="s">
        <v>21</v>
      </c>
      <c r="B20" s="3" t="s">
        <v>34</v>
      </c>
      <c r="C20" s="6">
        <v>9.31</v>
      </c>
      <c r="D20" s="6">
        <v>10.029999999999999</v>
      </c>
      <c r="E20" s="6">
        <v>9.75</v>
      </c>
      <c r="F20" s="6">
        <v>9.52</v>
      </c>
      <c r="G20" s="6">
        <v>9.49</v>
      </c>
    </row>
    <row r="21" spans="1:7" ht="15.75" x14ac:dyDescent="0.25">
      <c r="A21" s="3" t="s">
        <v>21</v>
      </c>
      <c r="B21" s="3" t="s">
        <v>35</v>
      </c>
      <c r="C21" s="6">
        <v>8.27</v>
      </c>
      <c r="D21" s="6">
        <v>8.83</v>
      </c>
      <c r="E21" s="6">
        <v>8.6999999999999993</v>
      </c>
      <c r="F21" s="6">
        <v>8.4600000000000009</v>
      </c>
      <c r="G21" s="6">
        <v>8.41</v>
      </c>
    </row>
    <row r="22" spans="1:7" ht="15.75" x14ac:dyDescent="0.25">
      <c r="A22" s="3" t="s">
        <v>21</v>
      </c>
      <c r="B22" s="3" t="s">
        <v>36</v>
      </c>
      <c r="C22" s="6">
        <v>8.26</v>
      </c>
      <c r="D22" s="6">
        <v>8.9499999999999993</v>
      </c>
      <c r="E22" s="6">
        <v>8.44</v>
      </c>
      <c r="F22" s="6">
        <v>7.87</v>
      </c>
      <c r="G22" s="6">
        <v>7.86</v>
      </c>
    </row>
    <row r="23" spans="1:7" ht="15.75" x14ac:dyDescent="0.25">
      <c r="A23" s="3" t="s">
        <v>21</v>
      </c>
      <c r="B23" s="3" t="s">
        <v>37</v>
      </c>
      <c r="C23" s="6">
        <v>4.82</v>
      </c>
      <c r="D23" s="6">
        <v>5.21</v>
      </c>
      <c r="E23" s="6">
        <v>5.01</v>
      </c>
      <c r="F23" s="6">
        <v>4.93</v>
      </c>
      <c r="G23" s="5">
        <v>4.8</v>
      </c>
    </row>
    <row r="24" spans="1:7" ht="15.75" x14ac:dyDescent="0.25">
      <c r="A24" s="3" t="s">
        <v>21</v>
      </c>
      <c r="B24" s="3" t="s">
        <v>38</v>
      </c>
      <c r="C24" s="6">
        <v>10.49</v>
      </c>
      <c r="D24" s="6">
        <v>11.3</v>
      </c>
      <c r="E24" s="6">
        <v>10.82</v>
      </c>
      <c r="F24" s="6">
        <v>10.52</v>
      </c>
      <c r="G24" s="6">
        <v>10.49</v>
      </c>
    </row>
    <row r="25" spans="1:7" ht="15.75" x14ac:dyDescent="0.25">
      <c r="A25" s="3" t="s">
        <v>21</v>
      </c>
      <c r="B25" s="3" t="s">
        <v>39</v>
      </c>
      <c r="C25" s="6">
        <v>8.99</v>
      </c>
      <c r="D25" s="6">
        <v>9.65</v>
      </c>
      <c r="E25" s="6">
        <v>9.32</v>
      </c>
      <c r="F25" s="6">
        <v>8.98</v>
      </c>
      <c r="G25" s="6">
        <v>8.75</v>
      </c>
    </row>
    <row r="26" spans="1:7" ht="15.75" x14ac:dyDescent="0.25">
      <c r="A26" s="3" t="s">
        <v>21</v>
      </c>
      <c r="B26" s="3" t="s">
        <v>40</v>
      </c>
      <c r="C26" s="6">
        <v>6.68</v>
      </c>
      <c r="D26" s="6">
        <v>7.24</v>
      </c>
      <c r="E26" s="6">
        <v>7.1</v>
      </c>
      <c r="F26" s="6">
        <v>6.67</v>
      </c>
      <c r="G26" s="6">
        <v>6.53</v>
      </c>
    </row>
    <row r="27" spans="1:7" ht="15.75" x14ac:dyDescent="0.25">
      <c r="A27" s="3" t="s">
        <v>21</v>
      </c>
      <c r="B27" s="3" t="s">
        <v>41</v>
      </c>
      <c r="C27" s="5">
        <v>7.7</v>
      </c>
      <c r="D27" s="6">
        <v>8.25</v>
      </c>
      <c r="E27" s="5">
        <v>8.02</v>
      </c>
      <c r="F27" s="5">
        <v>7.5</v>
      </c>
      <c r="G27" s="5">
        <v>7.2</v>
      </c>
    </row>
    <row r="28" spans="1:7" ht="15.75" x14ac:dyDescent="0.25">
      <c r="A28" s="3" t="s">
        <v>21</v>
      </c>
      <c r="B28" s="3" t="s">
        <v>42</v>
      </c>
      <c r="C28" s="6">
        <v>3.99</v>
      </c>
      <c r="D28" s="6">
        <v>4.37</v>
      </c>
      <c r="E28" s="6">
        <v>4.25</v>
      </c>
      <c r="F28" s="6">
        <v>3.96</v>
      </c>
      <c r="G28" s="6">
        <v>3.87</v>
      </c>
    </row>
    <row r="29" spans="1:7" ht="15.75" x14ac:dyDescent="0.25">
      <c r="A29" s="3" t="s">
        <v>21</v>
      </c>
      <c r="B29" s="3" t="s">
        <v>43</v>
      </c>
      <c r="C29" s="6">
        <v>9.52</v>
      </c>
      <c r="D29" s="6">
        <v>10.029999999999999</v>
      </c>
      <c r="E29" s="6">
        <v>9.82</v>
      </c>
      <c r="F29" s="6">
        <v>9.16</v>
      </c>
      <c r="G29" s="5">
        <v>9.02</v>
      </c>
    </row>
    <row r="30" spans="1:7" ht="15.75" x14ac:dyDescent="0.25">
      <c r="A30" s="3" t="s">
        <v>21</v>
      </c>
      <c r="B30" s="3" t="s">
        <v>44</v>
      </c>
      <c r="C30" s="6">
        <v>4.38</v>
      </c>
      <c r="D30" s="6">
        <v>4.74</v>
      </c>
      <c r="E30" s="6">
        <v>4.43</v>
      </c>
      <c r="F30" s="5">
        <v>4.0999999999999996</v>
      </c>
      <c r="G30" s="5">
        <v>4.01</v>
      </c>
    </row>
    <row r="31" spans="1:7" ht="15.75" x14ac:dyDescent="0.25">
      <c r="A31" s="3" t="s">
        <v>21</v>
      </c>
      <c r="B31" s="3" t="s">
        <v>45</v>
      </c>
      <c r="C31" s="6">
        <v>2.4500000000000002</v>
      </c>
      <c r="D31" s="6">
        <v>2.58</v>
      </c>
      <c r="E31" s="6">
        <v>2.5299999999999998</v>
      </c>
      <c r="F31" s="6">
        <v>2.38</v>
      </c>
      <c r="G31" s="6">
        <v>2.34</v>
      </c>
    </row>
    <row r="32" spans="1:7" ht="15.75" x14ac:dyDescent="0.25">
      <c r="A32" s="3" t="s">
        <v>21</v>
      </c>
      <c r="B32" s="3" t="s">
        <v>46</v>
      </c>
      <c r="C32" s="6">
        <v>5.1100000000000003</v>
      </c>
      <c r="D32" s="6">
        <v>5.35</v>
      </c>
      <c r="E32" s="6">
        <v>5.1100000000000003</v>
      </c>
      <c r="F32" s="6">
        <v>4.66</v>
      </c>
      <c r="G32" s="6">
        <v>4.3899999999999997</v>
      </c>
    </row>
    <row r="33" spans="1:13" ht="15.75" x14ac:dyDescent="0.25">
      <c r="A33" s="3" t="s">
        <v>21</v>
      </c>
      <c r="B33" s="3" t="s">
        <v>47</v>
      </c>
      <c r="C33" s="6">
        <v>12.97</v>
      </c>
      <c r="D33" s="6">
        <v>13.13</v>
      </c>
      <c r="E33" s="6">
        <v>12.72</v>
      </c>
      <c r="F33" s="6">
        <v>11.53</v>
      </c>
      <c r="G33" s="5">
        <v>11.1</v>
      </c>
    </row>
    <row r="34" spans="1:13" ht="15.75" x14ac:dyDescent="0.25">
      <c r="A34" s="3" t="s">
        <v>21</v>
      </c>
      <c r="B34" s="3" t="s">
        <v>48</v>
      </c>
      <c r="C34" s="6">
        <v>6.09</v>
      </c>
      <c r="D34" s="6">
        <v>7.11</v>
      </c>
      <c r="E34" s="6">
        <v>6.73</v>
      </c>
      <c r="F34" s="6">
        <v>6.14</v>
      </c>
      <c r="G34" s="6">
        <v>5.85</v>
      </c>
    </row>
    <row r="35" spans="1:13" ht="15.75" x14ac:dyDescent="0.25">
      <c r="A35" s="3" t="s">
        <v>49</v>
      </c>
      <c r="B35" s="3" t="s">
        <v>50</v>
      </c>
      <c r="C35" s="6">
        <v>9.92</v>
      </c>
      <c r="D35" s="6">
        <v>10.72</v>
      </c>
      <c r="E35" s="6">
        <v>9.32</v>
      </c>
      <c r="F35" s="6">
        <v>9.27</v>
      </c>
      <c r="G35" s="6">
        <v>9.18</v>
      </c>
    </row>
    <row r="36" spans="1:13" ht="15.75" x14ac:dyDescent="0.25">
      <c r="A36" s="3" t="s">
        <v>49</v>
      </c>
      <c r="B36" s="3" t="s">
        <v>51</v>
      </c>
      <c r="C36" s="6">
        <v>9.24</v>
      </c>
      <c r="D36" s="6">
        <v>10.29</v>
      </c>
      <c r="E36" s="6">
        <v>8.91</v>
      </c>
      <c r="F36" s="6">
        <v>8.68</v>
      </c>
      <c r="G36" s="6">
        <v>8.44</v>
      </c>
    </row>
    <row r="37" spans="1:13" ht="15.75" x14ac:dyDescent="0.25">
      <c r="A37" s="3" t="s">
        <v>49</v>
      </c>
      <c r="B37" s="3" t="s">
        <v>52</v>
      </c>
      <c r="C37" s="6">
        <v>6.23</v>
      </c>
      <c r="D37" s="6">
        <v>7.12</v>
      </c>
      <c r="E37" s="6">
        <v>6.92</v>
      </c>
      <c r="F37" s="6">
        <v>6.93</v>
      </c>
      <c r="G37" s="6">
        <v>6.55</v>
      </c>
    </row>
    <row r="38" spans="1:13" ht="15.75" x14ac:dyDescent="0.25">
      <c r="A38" s="3" t="s">
        <v>49</v>
      </c>
      <c r="B38" s="3" t="s">
        <v>53</v>
      </c>
      <c r="C38" s="6">
        <v>4.9400000000000004</v>
      </c>
      <c r="D38" s="6">
        <v>5.49</v>
      </c>
      <c r="E38" s="6">
        <v>4.96</v>
      </c>
      <c r="F38" s="6">
        <v>4.8499999999999996</v>
      </c>
      <c r="G38" s="6">
        <v>4.51</v>
      </c>
    </row>
    <row r="39" spans="1:13" ht="15.75" x14ac:dyDescent="0.25">
      <c r="A39" s="3" t="s">
        <v>49</v>
      </c>
      <c r="B39" s="3" t="s">
        <v>54</v>
      </c>
      <c r="C39" s="6">
        <v>5.22</v>
      </c>
      <c r="D39" s="6">
        <v>5.93</v>
      </c>
      <c r="E39" s="6">
        <v>5.77</v>
      </c>
      <c r="F39" s="6">
        <v>5.89</v>
      </c>
      <c r="G39" s="6">
        <v>5.43</v>
      </c>
    </row>
    <row r="40" spans="1:13" ht="15.75" x14ac:dyDescent="0.25">
      <c r="A40" s="3" t="s">
        <v>49</v>
      </c>
      <c r="B40" s="3" t="s">
        <v>55</v>
      </c>
      <c r="C40" s="6">
        <v>3.69</v>
      </c>
      <c r="D40" s="6">
        <v>4.24</v>
      </c>
      <c r="E40" s="6">
        <v>3.64</v>
      </c>
      <c r="F40" s="6">
        <v>3.98</v>
      </c>
      <c r="G40" s="6">
        <v>3.75</v>
      </c>
    </row>
    <row r="41" spans="1:13" ht="15.75" x14ac:dyDescent="0.25">
      <c r="A41" s="3" t="s">
        <v>49</v>
      </c>
      <c r="B41" s="3" t="s">
        <v>56</v>
      </c>
      <c r="C41" s="6">
        <v>6.06</v>
      </c>
      <c r="D41" s="6">
        <v>6.79</v>
      </c>
      <c r="E41" s="6">
        <v>5.94</v>
      </c>
      <c r="F41" s="6">
        <v>6.2</v>
      </c>
      <c r="G41" s="6">
        <v>5.65</v>
      </c>
    </row>
    <row r="42" spans="1:13" ht="15.75" x14ac:dyDescent="0.25">
      <c r="A42" s="3" t="s">
        <v>49</v>
      </c>
      <c r="B42" s="3" t="s">
        <v>57</v>
      </c>
      <c r="C42" s="6">
        <v>2.29</v>
      </c>
      <c r="D42" s="6">
        <v>2.57</v>
      </c>
      <c r="E42" s="6">
        <v>2.5</v>
      </c>
      <c r="F42" s="6">
        <v>2.57</v>
      </c>
      <c r="G42" s="6">
        <v>2.36</v>
      </c>
    </row>
    <row r="43" spans="1:13" x14ac:dyDescent="0.2">
      <c r="H43" t="s">
        <v>61</v>
      </c>
      <c r="I43">
        <f>MIN(C2:C42)</f>
        <v>2.29</v>
      </c>
      <c r="J43">
        <f t="shared" ref="J43:M43" si="0">MIN(D2:D42)</f>
        <v>2.57</v>
      </c>
      <c r="K43">
        <f t="shared" si="0"/>
        <v>2.5</v>
      </c>
      <c r="L43">
        <f t="shared" si="0"/>
        <v>2.38</v>
      </c>
      <c r="M43">
        <f t="shared" si="0"/>
        <v>2.34</v>
      </c>
    </row>
    <row r="44" spans="1:13" x14ac:dyDescent="0.2">
      <c r="H44" t="s">
        <v>59</v>
      </c>
      <c r="I44">
        <f>AVERAGE(C2:C42)</f>
        <v>7.635609756097562</v>
      </c>
      <c r="J44">
        <f t="shared" ref="J44:M44" si="1">AVERAGE(D2:D42)</f>
        <v>8.1639024390243957</v>
      </c>
      <c r="K44">
        <f t="shared" si="1"/>
        <v>7.8026829268292692</v>
      </c>
      <c r="L44">
        <f t="shared" si="1"/>
        <v>7.4419512195121955</v>
      </c>
      <c r="M44">
        <f t="shared" si="1"/>
        <v>7.2541463414634153</v>
      </c>
    </row>
    <row r="45" spans="1:13" x14ac:dyDescent="0.2">
      <c r="H45" t="s">
        <v>60</v>
      </c>
      <c r="I45">
        <f>MAX(C2:C42)</f>
        <v>14.87</v>
      </c>
      <c r="J45">
        <f t="shared" ref="J45:M45" si="2">MAX(D2:D42)</f>
        <v>15.06</v>
      </c>
      <c r="K45">
        <f t="shared" si="2"/>
        <v>14.11</v>
      </c>
      <c r="L45">
        <f t="shared" si="2"/>
        <v>13.13</v>
      </c>
      <c r="M45">
        <f t="shared" si="2"/>
        <v>13.03</v>
      </c>
    </row>
  </sheetData>
  <pageMargins left="0.7" right="0.7" top="0.75" bottom="0.75" header="0.3" footer="0.3"/>
  <ignoredErrors>
    <ignoredError sqref="I43:M4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0ACE-AD27-41C5-A066-C129E2489482}">
  <dimension ref="A1:M45"/>
  <sheetViews>
    <sheetView workbookViewId="0">
      <selection activeCell="G5" sqref="G5"/>
    </sheetView>
  </sheetViews>
  <sheetFormatPr defaultRowHeight="12.75" x14ac:dyDescent="0.2"/>
  <cols>
    <col min="2" max="2" width="18.28515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.75" x14ac:dyDescent="0.25">
      <c r="A2" s="3" t="s">
        <v>14</v>
      </c>
      <c r="B2" s="3" t="s">
        <v>15</v>
      </c>
      <c r="C2" s="6">
        <v>3706.25</v>
      </c>
      <c r="D2" s="6">
        <v>3648.88</v>
      </c>
      <c r="E2" s="6">
        <v>3586.89</v>
      </c>
      <c r="F2" s="6">
        <v>3305.13</v>
      </c>
      <c r="G2" s="5">
        <v>3268.5</v>
      </c>
    </row>
    <row r="3" spans="1:7" ht="15.75" x14ac:dyDescent="0.25">
      <c r="A3" s="3" t="s">
        <v>14</v>
      </c>
      <c r="B3" s="3" t="s">
        <v>16</v>
      </c>
      <c r="C3" s="6">
        <v>419257.19</v>
      </c>
      <c r="D3" s="6">
        <v>429278</v>
      </c>
      <c r="E3" s="6">
        <v>451772.7</v>
      </c>
      <c r="F3" s="6">
        <v>475806.2</v>
      </c>
      <c r="G3" s="6">
        <v>500422.7</v>
      </c>
    </row>
    <row r="4" spans="1:7" ht="15.75" x14ac:dyDescent="0.25">
      <c r="A4" s="3" t="s">
        <v>14</v>
      </c>
      <c r="B4" s="3" t="s">
        <v>17</v>
      </c>
      <c r="C4" s="6">
        <v>299515.15999999997</v>
      </c>
      <c r="D4" s="6">
        <v>313816.5</v>
      </c>
      <c r="E4" s="6">
        <v>329546.3</v>
      </c>
      <c r="F4" s="6">
        <v>346508.7</v>
      </c>
      <c r="G4" s="6">
        <v>362068.1</v>
      </c>
    </row>
    <row r="5" spans="1:7" ht="15.75" x14ac:dyDescent="0.25">
      <c r="A5" s="3" t="s">
        <v>14</v>
      </c>
      <c r="B5" s="3" t="s">
        <v>18</v>
      </c>
      <c r="C5" s="6">
        <v>449518.14</v>
      </c>
      <c r="D5" s="6">
        <v>460024.3</v>
      </c>
      <c r="E5" s="6">
        <v>481954.5</v>
      </c>
      <c r="F5" s="6">
        <v>506560.7</v>
      </c>
      <c r="G5" s="6">
        <v>532606.9</v>
      </c>
    </row>
    <row r="6" spans="1:7" ht="15.75" x14ac:dyDescent="0.25">
      <c r="A6" s="3" t="s">
        <v>14</v>
      </c>
      <c r="B6" s="3" t="s">
        <v>19</v>
      </c>
      <c r="C6" s="6">
        <v>316172.61</v>
      </c>
      <c r="D6" s="6">
        <v>327613.09999999998</v>
      </c>
      <c r="E6" s="6">
        <v>345619.6</v>
      </c>
      <c r="F6" s="6">
        <v>363931.2</v>
      </c>
      <c r="G6" s="6">
        <v>383113.1</v>
      </c>
    </row>
    <row r="7" spans="1:7" ht="15.75" x14ac:dyDescent="0.25">
      <c r="A7" s="3" t="s">
        <v>14</v>
      </c>
      <c r="B7" s="3" t="s">
        <v>20</v>
      </c>
      <c r="C7" s="6">
        <v>312100.58</v>
      </c>
      <c r="D7" s="6">
        <v>330883.90000000002</v>
      </c>
      <c r="E7" s="6">
        <v>350233.7</v>
      </c>
      <c r="F7" s="6">
        <v>364823.9</v>
      </c>
      <c r="G7" s="6">
        <v>380461.1</v>
      </c>
    </row>
    <row r="8" spans="1:7" ht="15.75" x14ac:dyDescent="0.25">
      <c r="A8" s="3" t="s">
        <v>21</v>
      </c>
      <c r="B8" s="3" t="s">
        <v>22</v>
      </c>
      <c r="C8" s="6">
        <v>154113.60000000001</v>
      </c>
      <c r="D8" s="6">
        <v>159589.6</v>
      </c>
      <c r="E8" s="6">
        <v>167966.2</v>
      </c>
      <c r="F8" s="6">
        <v>176683.6</v>
      </c>
      <c r="G8" s="6">
        <v>185882.3</v>
      </c>
    </row>
    <row r="9" spans="1:7" ht="15.75" x14ac:dyDescent="0.25">
      <c r="A9" s="3" t="s">
        <v>21</v>
      </c>
      <c r="B9" s="3" t="s">
        <v>23</v>
      </c>
      <c r="C9" s="6">
        <v>46205.279999999999</v>
      </c>
      <c r="D9" s="6">
        <v>47935.63</v>
      </c>
      <c r="E9" s="6">
        <v>50388.72</v>
      </c>
      <c r="F9" s="6">
        <v>52993.98</v>
      </c>
      <c r="G9" s="6">
        <v>55723.92</v>
      </c>
    </row>
    <row r="10" spans="1:7" ht="15.75" x14ac:dyDescent="0.25">
      <c r="A10" s="3" t="s">
        <v>21</v>
      </c>
      <c r="B10" s="3" t="s">
        <v>24</v>
      </c>
      <c r="C10" s="6">
        <v>31792.32</v>
      </c>
      <c r="D10" s="6">
        <v>32897.53</v>
      </c>
      <c r="E10" s="6">
        <v>34556.400000000001</v>
      </c>
      <c r="F10" s="6">
        <v>36339.550000000003</v>
      </c>
      <c r="G10" s="6">
        <v>38208.18</v>
      </c>
    </row>
    <row r="11" spans="1:7" ht="15.75" x14ac:dyDescent="0.25">
      <c r="A11" s="3" t="s">
        <v>21</v>
      </c>
      <c r="B11" s="3" t="s">
        <v>25</v>
      </c>
      <c r="C11" s="6">
        <v>81060.97</v>
      </c>
      <c r="D11" s="6">
        <v>83949.37</v>
      </c>
      <c r="E11" s="6">
        <v>88437.96</v>
      </c>
      <c r="F11" s="6">
        <v>92830.17</v>
      </c>
      <c r="G11" s="6">
        <v>97509.91</v>
      </c>
    </row>
    <row r="12" spans="1:7" ht="15.75" x14ac:dyDescent="0.25">
      <c r="A12" s="3" t="s">
        <v>21</v>
      </c>
      <c r="B12" s="3" t="s">
        <v>26</v>
      </c>
      <c r="C12" s="6">
        <v>38598.43</v>
      </c>
      <c r="D12" s="6">
        <v>39981.19</v>
      </c>
      <c r="E12" s="6">
        <v>42012.959999999999</v>
      </c>
      <c r="F12" s="6">
        <v>44087.22</v>
      </c>
      <c r="G12" s="6">
        <v>46270.92</v>
      </c>
    </row>
    <row r="13" spans="1:7" ht="15.75" x14ac:dyDescent="0.25">
      <c r="A13" s="3" t="s">
        <v>21</v>
      </c>
      <c r="B13" s="3" t="s">
        <v>27</v>
      </c>
      <c r="C13" s="6">
        <v>24344.86</v>
      </c>
      <c r="D13" s="6">
        <v>25179.48</v>
      </c>
      <c r="E13" s="6">
        <v>26361.66</v>
      </c>
      <c r="F13" s="6">
        <v>27599.16</v>
      </c>
      <c r="G13" s="6">
        <v>28879.68</v>
      </c>
    </row>
    <row r="14" spans="1:7" ht="15.75" x14ac:dyDescent="0.25">
      <c r="A14" s="3" t="s">
        <v>21</v>
      </c>
      <c r="B14" s="3" t="s">
        <v>28</v>
      </c>
      <c r="C14" s="6">
        <v>21970.41</v>
      </c>
      <c r="D14" s="6">
        <v>22774.93</v>
      </c>
      <c r="E14" s="6">
        <v>23918.89</v>
      </c>
      <c r="F14" s="6">
        <v>25111.71</v>
      </c>
      <c r="G14" s="6">
        <v>26360.94</v>
      </c>
    </row>
    <row r="15" spans="1:7" ht="15.75" x14ac:dyDescent="0.25">
      <c r="A15" s="3" t="s">
        <v>21</v>
      </c>
      <c r="B15" s="3" t="s">
        <v>29</v>
      </c>
      <c r="C15" s="6">
        <v>16882.759999999998</v>
      </c>
      <c r="D15" s="6">
        <v>17483.560000000001</v>
      </c>
      <c r="E15" s="6">
        <v>18450.34</v>
      </c>
      <c r="F15" s="6">
        <v>19418.73</v>
      </c>
      <c r="G15" s="6">
        <v>20507.27</v>
      </c>
    </row>
    <row r="16" spans="1:7" ht="15.75" x14ac:dyDescent="0.25">
      <c r="A16" s="3" t="s">
        <v>21</v>
      </c>
      <c r="B16" s="3" t="s">
        <v>30</v>
      </c>
      <c r="C16" s="6">
        <v>33304.050000000003</v>
      </c>
      <c r="D16" s="6">
        <v>34127.519999999997</v>
      </c>
      <c r="E16" s="6">
        <v>35523.78</v>
      </c>
      <c r="F16" s="6">
        <v>37246.57</v>
      </c>
      <c r="G16" s="6">
        <v>39418.269999999997</v>
      </c>
    </row>
    <row r="17" spans="1:7" ht="15.75" x14ac:dyDescent="0.25">
      <c r="A17" s="3" t="s">
        <v>21</v>
      </c>
      <c r="B17" s="3" t="s">
        <v>31</v>
      </c>
      <c r="C17" s="6">
        <v>21754.54</v>
      </c>
      <c r="D17" s="6">
        <v>22788.75</v>
      </c>
      <c r="E17" s="6">
        <v>24298.1</v>
      </c>
      <c r="F17" s="6">
        <v>25793.24</v>
      </c>
      <c r="G17" s="6">
        <v>27438.93</v>
      </c>
    </row>
    <row r="18" spans="1:7" ht="15.75" x14ac:dyDescent="0.25">
      <c r="A18" s="3" t="s">
        <v>21</v>
      </c>
      <c r="B18" s="3" t="s">
        <v>32</v>
      </c>
      <c r="C18" s="6">
        <v>23665.01</v>
      </c>
      <c r="D18" s="6">
        <v>24414.66</v>
      </c>
      <c r="E18" s="6">
        <v>25595.02</v>
      </c>
      <c r="F18" s="6">
        <v>26876.86</v>
      </c>
      <c r="G18" s="6">
        <v>27965.759999999998</v>
      </c>
    </row>
    <row r="19" spans="1:7" ht="15.75" x14ac:dyDescent="0.25">
      <c r="A19" s="3" t="s">
        <v>21</v>
      </c>
      <c r="B19" s="3" t="s">
        <v>33</v>
      </c>
      <c r="C19" s="6">
        <v>59200</v>
      </c>
      <c r="D19" s="6">
        <v>59544.87</v>
      </c>
      <c r="E19" s="6">
        <v>61259.61</v>
      </c>
      <c r="F19" s="6">
        <v>67237.69</v>
      </c>
      <c r="G19" s="6">
        <v>68701.960000000006</v>
      </c>
    </row>
    <row r="20" spans="1:7" ht="15.75" x14ac:dyDescent="0.25">
      <c r="A20" s="3" t="s">
        <v>21</v>
      </c>
      <c r="B20" s="3" t="s">
        <v>34</v>
      </c>
      <c r="C20" s="6">
        <v>28344.32</v>
      </c>
      <c r="D20" s="6">
        <v>28960.89</v>
      </c>
      <c r="E20" s="6">
        <v>30202.58</v>
      </c>
      <c r="F20" s="6">
        <v>31604.98</v>
      </c>
      <c r="G20" s="6">
        <v>33126.46</v>
      </c>
    </row>
    <row r="21" spans="1:7" ht="15.75" x14ac:dyDescent="0.25">
      <c r="A21" s="3" t="s">
        <v>21</v>
      </c>
      <c r="B21" s="3" t="s">
        <v>35</v>
      </c>
      <c r="C21" s="6">
        <v>45293.24</v>
      </c>
      <c r="D21" s="6">
        <v>46840.15</v>
      </c>
      <c r="E21" s="6">
        <v>49292.98</v>
      </c>
      <c r="F21" s="6">
        <v>51740.5</v>
      </c>
      <c r="G21" s="6">
        <v>54142.29</v>
      </c>
    </row>
    <row r="22" spans="1:7" ht="15.75" x14ac:dyDescent="0.25">
      <c r="A22" s="3" t="s">
        <v>21</v>
      </c>
      <c r="B22" s="3" t="s">
        <v>36</v>
      </c>
      <c r="C22" s="6">
        <v>157710.59</v>
      </c>
      <c r="D22" s="6">
        <v>166941.5</v>
      </c>
      <c r="E22" s="6">
        <v>177470.9</v>
      </c>
      <c r="F22" s="6">
        <v>187051.7</v>
      </c>
      <c r="G22" s="6">
        <v>194903.1</v>
      </c>
    </row>
    <row r="23" spans="1:7" ht="15.75" x14ac:dyDescent="0.25">
      <c r="A23" s="3" t="s">
        <v>21</v>
      </c>
      <c r="B23" s="3" t="s">
        <v>37</v>
      </c>
      <c r="C23" s="6">
        <v>242971.39</v>
      </c>
      <c r="D23" s="6">
        <v>251778.5</v>
      </c>
      <c r="E23" s="6">
        <v>265120.5</v>
      </c>
      <c r="F23" s="6">
        <v>279224.90000000002</v>
      </c>
      <c r="G23" s="6">
        <v>293664.8</v>
      </c>
    </row>
    <row r="24" spans="1:7" ht="15.75" x14ac:dyDescent="0.25">
      <c r="A24" s="3" t="s">
        <v>21</v>
      </c>
      <c r="B24" s="3" t="s">
        <v>38</v>
      </c>
      <c r="C24" s="6">
        <v>30640.41</v>
      </c>
      <c r="D24" s="6">
        <v>31701.79</v>
      </c>
      <c r="E24" s="6">
        <v>33393.29</v>
      </c>
      <c r="F24" s="6">
        <v>35062.19</v>
      </c>
      <c r="G24" s="6">
        <v>36793.68</v>
      </c>
    </row>
    <row r="25" spans="1:7" ht="15.75" x14ac:dyDescent="0.25">
      <c r="A25" s="3" t="s">
        <v>21</v>
      </c>
      <c r="B25" s="3" t="s">
        <v>39</v>
      </c>
      <c r="C25" s="6">
        <v>7738.97</v>
      </c>
      <c r="D25" s="6">
        <v>8022.78</v>
      </c>
      <c r="E25" s="6">
        <v>2383665</v>
      </c>
      <c r="F25" s="6">
        <v>8869.86</v>
      </c>
      <c r="G25" s="6">
        <v>9324.31</v>
      </c>
    </row>
    <row r="26" spans="1:7" ht="15.75" x14ac:dyDescent="0.25">
      <c r="A26" s="3" t="s">
        <v>21</v>
      </c>
      <c r="B26" s="3" t="s">
        <v>40</v>
      </c>
      <c r="C26" s="6">
        <v>32162.74</v>
      </c>
      <c r="D26" s="6">
        <v>33372.480000000003</v>
      </c>
      <c r="E26" s="6">
        <v>35258.870000000003</v>
      </c>
      <c r="F26" s="6">
        <v>37055.360000000001</v>
      </c>
      <c r="G26" s="6">
        <v>38964.67</v>
      </c>
    </row>
    <row r="27" spans="1:7" ht="15.75" x14ac:dyDescent="0.25">
      <c r="A27" s="3" t="s">
        <v>21</v>
      </c>
      <c r="B27" s="3" t="s">
        <v>41</v>
      </c>
      <c r="C27" s="6">
        <v>8534.7199999999993</v>
      </c>
      <c r="D27" s="6">
        <v>2538923</v>
      </c>
      <c r="E27" s="6">
        <v>9324.16</v>
      </c>
      <c r="F27" s="6">
        <v>9801.8799999999992</v>
      </c>
      <c r="G27" s="6">
        <v>10303.16</v>
      </c>
    </row>
    <row r="28" spans="1:7" ht="15.75" x14ac:dyDescent="0.25">
      <c r="A28" s="3" t="s">
        <v>21</v>
      </c>
      <c r="B28" s="3" t="s">
        <v>42</v>
      </c>
      <c r="C28" s="6">
        <v>193144.95</v>
      </c>
      <c r="D28" s="6">
        <v>200414</v>
      </c>
      <c r="E28" s="6">
        <v>211250.7</v>
      </c>
      <c r="F28" s="6">
        <v>221969.1</v>
      </c>
      <c r="G28" s="6">
        <v>233053.8</v>
      </c>
    </row>
    <row r="29" spans="1:7" ht="15.75" x14ac:dyDescent="0.25">
      <c r="A29" s="3" t="s">
        <v>21</v>
      </c>
      <c r="B29" s="3" t="s">
        <v>43</v>
      </c>
      <c r="C29" s="6">
        <v>16648.21</v>
      </c>
      <c r="D29" s="6">
        <v>17155.75</v>
      </c>
      <c r="E29" s="6">
        <v>18030.25</v>
      </c>
      <c r="F29" s="6">
        <v>18934.400000000001</v>
      </c>
      <c r="G29" s="6">
        <v>19884.060000000001</v>
      </c>
    </row>
    <row r="30" spans="1:7" ht="15.75" x14ac:dyDescent="0.25">
      <c r="A30" s="3" t="s">
        <v>21</v>
      </c>
      <c r="B30" s="3" t="s">
        <v>44</v>
      </c>
      <c r="C30" s="6">
        <v>67619.240000000005</v>
      </c>
      <c r="D30" s="6">
        <v>69796.94</v>
      </c>
      <c r="E30" s="6">
        <v>73260.649999999994</v>
      </c>
      <c r="F30" s="6">
        <v>77241.789999999994</v>
      </c>
      <c r="G30" s="6">
        <v>81251.61</v>
      </c>
    </row>
    <row r="31" spans="1:7" ht="15.75" x14ac:dyDescent="0.25">
      <c r="A31" s="3" t="s">
        <v>21</v>
      </c>
      <c r="B31" s="3" t="s">
        <v>45</v>
      </c>
      <c r="C31" s="6">
        <v>48135.93</v>
      </c>
      <c r="D31" s="6">
        <v>49947.24</v>
      </c>
      <c r="E31" s="6">
        <v>52564.98</v>
      </c>
      <c r="F31" s="6">
        <v>55221.82</v>
      </c>
      <c r="G31" s="6">
        <v>58241.86</v>
      </c>
    </row>
    <row r="32" spans="1:7" ht="15.75" x14ac:dyDescent="0.25">
      <c r="A32" s="3" t="s">
        <v>21</v>
      </c>
      <c r="B32" s="3" t="s">
        <v>46</v>
      </c>
      <c r="C32" s="6">
        <v>22340.560000000001</v>
      </c>
      <c r="D32" s="6">
        <v>23275.78</v>
      </c>
      <c r="E32" s="6">
        <v>24652.73</v>
      </c>
      <c r="F32" s="6">
        <v>25931.98</v>
      </c>
      <c r="G32" s="6">
        <v>27296.93</v>
      </c>
    </row>
    <row r="33" spans="1:13" ht="15.75" x14ac:dyDescent="0.25">
      <c r="A33" s="3" t="s">
        <v>21</v>
      </c>
      <c r="B33" s="3" t="s">
        <v>47</v>
      </c>
      <c r="C33" s="6">
        <v>15430.02</v>
      </c>
      <c r="D33" s="6">
        <v>15980.75</v>
      </c>
      <c r="E33" s="6">
        <v>16781.04</v>
      </c>
      <c r="F33" s="6">
        <v>17781.93</v>
      </c>
      <c r="G33" s="6">
        <v>18709.87</v>
      </c>
    </row>
    <row r="34" spans="1:13" ht="15.75" x14ac:dyDescent="0.25">
      <c r="A34" s="3" t="s">
        <v>21</v>
      </c>
      <c r="B34" s="3" t="s">
        <v>48</v>
      </c>
      <c r="C34" s="6">
        <v>3251.76</v>
      </c>
      <c r="D34" s="6">
        <v>3365.25</v>
      </c>
      <c r="E34" s="6">
        <v>3516.57</v>
      </c>
      <c r="F34" s="6">
        <v>3682.3</v>
      </c>
      <c r="G34" s="6">
        <v>3883.98</v>
      </c>
    </row>
    <row r="35" spans="1:13" ht="15.75" x14ac:dyDescent="0.25">
      <c r="A35" s="3" t="s">
        <v>49</v>
      </c>
      <c r="B35" s="3" t="s">
        <v>50</v>
      </c>
      <c r="C35" s="6">
        <v>19511.68</v>
      </c>
      <c r="D35" s="6">
        <v>20116.900000000001</v>
      </c>
      <c r="E35" s="6">
        <v>20814.77</v>
      </c>
      <c r="F35" s="6">
        <v>21340.73</v>
      </c>
      <c r="G35" s="6">
        <v>21928.59</v>
      </c>
    </row>
    <row r="36" spans="1:13" ht="15.75" x14ac:dyDescent="0.25">
      <c r="A36" s="3" t="s">
        <v>49</v>
      </c>
      <c r="B36" s="3" t="s">
        <v>51</v>
      </c>
      <c r="C36" s="6">
        <v>20622.04</v>
      </c>
      <c r="D36" s="6">
        <v>21278.48</v>
      </c>
      <c r="E36" s="6">
        <v>22087.37</v>
      </c>
      <c r="F36" s="6">
        <v>22706.47</v>
      </c>
      <c r="G36" s="6">
        <v>23377.24</v>
      </c>
    </row>
    <row r="37" spans="1:13" ht="15.75" x14ac:dyDescent="0.25">
      <c r="A37" s="3" t="s">
        <v>49</v>
      </c>
      <c r="B37" s="3" t="s">
        <v>52</v>
      </c>
      <c r="C37" s="6">
        <v>93480.39</v>
      </c>
      <c r="D37" s="6">
        <v>97869.38</v>
      </c>
      <c r="E37" s="6">
        <v>103219.4</v>
      </c>
      <c r="F37" s="6">
        <v>108569.8</v>
      </c>
      <c r="G37" s="6">
        <v>113998.2</v>
      </c>
    </row>
    <row r="38" spans="1:13" ht="15.75" x14ac:dyDescent="0.25">
      <c r="A38" s="3" t="s">
        <v>49</v>
      </c>
      <c r="B38" s="3" t="s">
        <v>53</v>
      </c>
      <c r="C38" s="6">
        <v>52866.43</v>
      </c>
      <c r="D38" s="6">
        <v>54844.65</v>
      </c>
      <c r="E38" s="6">
        <v>57605.99</v>
      </c>
      <c r="F38" s="6">
        <v>60369.96</v>
      </c>
      <c r="G38" s="6">
        <v>63255.33</v>
      </c>
    </row>
    <row r="39" spans="1:13" ht="15.75" x14ac:dyDescent="0.25">
      <c r="A39" s="3" t="s">
        <v>49</v>
      </c>
      <c r="B39" s="3" t="s">
        <v>54</v>
      </c>
      <c r="C39" s="6">
        <v>102415.7</v>
      </c>
      <c r="D39" s="6">
        <v>106413.7</v>
      </c>
      <c r="E39" s="6">
        <v>112778.1</v>
      </c>
      <c r="F39" s="6">
        <v>119059.9</v>
      </c>
      <c r="G39" s="6">
        <v>125060.3</v>
      </c>
    </row>
    <row r="40" spans="1:13" ht="15.75" x14ac:dyDescent="0.25">
      <c r="A40" s="3" t="s">
        <v>49</v>
      </c>
      <c r="B40" s="3" t="s">
        <v>55</v>
      </c>
      <c r="C40" s="6">
        <v>73319.12</v>
      </c>
      <c r="D40" s="6">
        <v>77163.94</v>
      </c>
      <c r="E40" s="6">
        <v>80646.38</v>
      </c>
      <c r="F40" s="6">
        <v>84536.65</v>
      </c>
      <c r="G40" s="6">
        <v>88628.11</v>
      </c>
    </row>
    <row r="41" spans="1:13" ht="15.75" x14ac:dyDescent="0.25">
      <c r="A41" s="3" t="s">
        <v>49</v>
      </c>
      <c r="B41" s="3" t="s">
        <v>56</v>
      </c>
      <c r="C41" s="6">
        <v>22518.66</v>
      </c>
      <c r="D41" s="6">
        <v>23392.75</v>
      </c>
      <c r="E41" s="6">
        <v>24495.02</v>
      </c>
      <c r="F41" s="6">
        <v>25655.25</v>
      </c>
      <c r="G41" s="6">
        <v>26863.08</v>
      </c>
    </row>
    <row r="42" spans="1:13" ht="15.75" x14ac:dyDescent="0.25">
      <c r="A42" s="3" t="s">
        <v>49</v>
      </c>
      <c r="B42" s="3" t="s">
        <v>57</v>
      </c>
      <c r="C42" s="6">
        <v>59531.08</v>
      </c>
      <c r="D42" s="6">
        <v>62393.120000000003</v>
      </c>
      <c r="E42" s="6">
        <v>66021.240000000005</v>
      </c>
      <c r="F42" s="6">
        <v>69561.56</v>
      </c>
      <c r="G42" s="6">
        <v>73052.84</v>
      </c>
    </row>
    <row r="43" spans="1:13" x14ac:dyDescent="0.2">
      <c r="H43" t="s">
        <v>61</v>
      </c>
      <c r="I43">
        <f>MIN(C2:C42)</f>
        <v>3251.76</v>
      </c>
      <c r="J43">
        <f t="shared" ref="J43:M43" si="0">MIN(D2:D42)</f>
        <v>3365.25</v>
      </c>
      <c r="K43">
        <f t="shared" si="0"/>
        <v>3516.57</v>
      </c>
      <c r="L43">
        <f t="shared" si="0"/>
        <v>3305.13</v>
      </c>
      <c r="M43">
        <f t="shared" si="0"/>
        <v>3268.5</v>
      </c>
    </row>
    <row r="44" spans="1:13" x14ac:dyDescent="0.2">
      <c r="H44" t="s">
        <v>59</v>
      </c>
      <c r="I44">
        <f>AVERAGE(C2:C42)</f>
        <v>90668.15390243908</v>
      </c>
      <c r="J44">
        <f t="shared" ref="J44:M44" si="1">AVERAGE(D2:D42)</f>
        <v>155753.20707317078</v>
      </c>
      <c r="K44">
        <f t="shared" si="1"/>
        <v>156900.89756097566</v>
      </c>
      <c r="L44">
        <f t="shared" si="1"/>
        <v>104051.93463414632</v>
      </c>
      <c r="M44">
        <f t="shared" si="1"/>
        <v>109134.55390243905</v>
      </c>
    </row>
    <row r="45" spans="1:13" x14ac:dyDescent="0.2">
      <c r="H45" t="s">
        <v>60</v>
      </c>
      <c r="I45">
        <f>MAX(C2:C42)</f>
        <v>449518.14</v>
      </c>
      <c r="J45">
        <f t="shared" ref="J45:M45" si="2">MAX(D2:D42)</f>
        <v>2538923</v>
      </c>
      <c r="K45">
        <f t="shared" si="2"/>
        <v>2383665</v>
      </c>
      <c r="L45">
        <f t="shared" si="2"/>
        <v>506560.7</v>
      </c>
      <c r="M45">
        <f t="shared" si="2"/>
        <v>532606.9</v>
      </c>
    </row>
  </sheetData>
  <pageMargins left="0.7" right="0.7" top="0.75" bottom="0.75" header="0.3" footer="0.3"/>
  <ignoredErrors>
    <ignoredError sqref="I43:M4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2C3E-8DED-413C-875B-6EA7A5F369DF}">
  <dimension ref="A1:M44"/>
  <sheetViews>
    <sheetView topLeftCell="E12" workbookViewId="0">
      <selection activeCell="B42" sqref="A1:B42"/>
    </sheetView>
  </sheetViews>
  <sheetFormatPr defaultRowHeight="12.75" x14ac:dyDescent="0.2"/>
  <cols>
    <col min="2" max="2" width="18.28515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" x14ac:dyDescent="0.25">
      <c r="A2" s="3" t="s">
        <v>14</v>
      </c>
      <c r="B2" s="3" t="s">
        <v>15</v>
      </c>
      <c r="C2">
        <v>4.9400000000000004</v>
      </c>
      <c r="D2">
        <v>1.55</v>
      </c>
      <c r="E2">
        <v>1.7</v>
      </c>
      <c r="F2">
        <v>7.86</v>
      </c>
      <c r="G2">
        <v>1.1100000000000001</v>
      </c>
    </row>
    <row r="3" spans="1:7" ht="15" x14ac:dyDescent="0.25">
      <c r="A3" s="3" t="s">
        <v>14</v>
      </c>
      <c r="B3" s="3" t="s">
        <v>16</v>
      </c>
      <c r="C3">
        <v>0.49</v>
      </c>
      <c r="D3">
        <v>2.29</v>
      </c>
      <c r="E3">
        <v>5.24</v>
      </c>
      <c r="F3">
        <v>5.32</v>
      </c>
      <c r="G3">
        <v>5.17</v>
      </c>
    </row>
    <row r="4" spans="1:7" ht="15" x14ac:dyDescent="0.25">
      <c r="A4" s="3" t="s">
        <v>14</v>
      </c>
      <c r="B4" s="3" t="s">
        <v>17</v>
      </c>
      <c r="C4">
        <v>4.47</v>
      </c>
      <c r="D4">
        <v>4.7699999999999996</v>
      </c>
      <c r="E4">
        <v>5.0199999999999996</v>
      </c>
      <c r="F4">
        <v>5.15</v>
      </c>
      <c r="G4">
        <v>4.49</v>
      </c>
    </row>
    <row r="5" spans="1:7" ht="15" x14ac:dyDescent="0.25">
      <c r="A5" s="3" t="s">
        <v>14</v>
      </c>
      <c r="B5" s="3" t="s">
        <v>18</v>
      </c>
      <c r="C5">
        <v>0.86</v>
      </c>
      <c r="D5">
        <v>2.33</v>
      </c>
      <c r="E5">
        <v>4.78</v>
      </c>
      <c r="F5">
        <v>5.1100000000000003</v>
      </c>
      <c r="G5">
        <v>5.14</v>
      </c>
    </row>
    <row r="6" spans="1:7" ht="15" x14ac:dyDescent="0.25">
      <c r="A6" s="3" t="s">
        <v>14</v>
      </c>
      <c r="B6" s="3" t="s">
        <v>19</v>
      </c>
      <c r="C6">
        <v>0.86</v>
      </c>
      <c r="D6">
        <v>3.61</v>
      </c>
      <c r="E6">
        <v>5.5</v>
      </c>
      <c r="F6">
        <v>5.3</v>
      </c>
      <c r="G6">
        <v>5.27</v>
      </c>
    </row>
    <row r="7" spans="1:7" ht="15" x14ac:dyDescent="0.25">
      <c r="A7" s="3" t="s">
        <v>14</v>
      </c>
      <c r="B7" s="3" t="s">
        <v>20</v>
      </c>
      <c r="C7">
        <v>6.22</v>
      </c>
      <c r="D7">
        <v>6.02</v>
      </c>
      <c r="E7">
        <v>5.85</v>
      </c>
      <c r="F7">
        <v>4.17</v>
      </c>
      <c r="G7">
        <v>4.29</v>
      </c>
    </row>
    <row r="8" spans="1:7" ht="15" x14ac:dyDescent="0.25">
      <c r="A8" s="3" t="s">
        <v>21</v>
      </c>
      <c r="B8" s="3" t="s">
        <v>22</v>
      </c>
      <c r="C8">
        <v>1.76</v>
      </c>
      <c r="D8">
        <v>3.55</v>
      </c>
      <c r="E8">
        <v>5.25</v>
      </c>
      <c r="F8">
        <v>5.19</v>
      </c>
      <c r="G8">
        <v>5.21</v>
      </c>
    </row>
    <row r="9" spans="1:7" ht="15" x14ac:dyDescent="0.25">
      <c r="A9" s="3" t="s">
        <v>21</v>
      </c>
      <c r="B9" s="3" t="s">
        <v>23</v>
      </c>
      <c r="C9">
        <v>0.91</v>
      </c>
      <c r="D9">
        <v>3.74</v>
      </c>
      <c r="E9">
        <v>5.12</v>
      </c>
      <c r="F9">
        <v>5.17</v>
      </c>
      <c r="G9">
        <v>5.15</v>
      </c>
    </row>
    <row r="10" spans="1:7" ht="15" x14ac:dyDescent="0.25">
      <c r="A10" s="3" t="s">
        <v>21</v>
      </c>
      <c r="B10" s="3" t="s">
        <v>24</v>
      </c>
      <c r="C10">
        <v>0.77</v>
      </c>
      <c r="D10">
        <v>3.48</v>
      </c>
      <c r="E10">
        <v>5.04</v>
      </c>
      <c r="F10">
        <v>5.16</v>
      </c>
      <c r="G10">
        <v>5.14</v>
      </c>
    </row>
    <row r="11" spans="1:7" ht="15" x14ac:dyDescent="0.25">
      <c r="A11" s="3" t="s">
        <v>21</v>
      </c>
      <c r="B11" s="3" t="s">
        <v>25</v>
      </c>
      <c r="C11">
        <v>1.8</v>
      </c>
      <c r="D11">
        <v>3.56</v>
      </c>
      <c r="E11">
        <v>5.35</v>
      </c>
      <c r="F11">
        <v>4.97</v>
      </c>
      <c r="G11">
        <v>5.04</v>
      </c>
    </row>
    <row r="12" spans="1:7" ht="15" x14ac:dyDescent="0.25">
      <c r="A12" s="3" t="s">
        <v>21</v>
      </c>
      <c r="B12" s="3" t="s">
        <v>26</v>
      </c>
      <c r="C12">
        <v>1.28</v>
      </c>
      <c r="D12">
        <v>3.58</v>
      </c>
      <c r="E12">
        <v>5.08</v>
      </c>
      <c r="F12">
        <v>4.9400000000000004</v>
      </c>
      <c r="G12">
        <v>4.95</v>
      </c>
    </row>
    <row r="13" spans="1:7" ht="15" x14ac:dyDescent="0.25">
      <c r="A13" s="3" t="s">
        <v>21</v>
      </c>
      <c r="B13" s="3" t="s">
        <v>27</v>
      </c>
      <c r="C13">
        <v>0.98</v>
      </c>
      <c r="D13">
        <v>3.43</v>
      </c>
      <c r="E13">
        <v>4.7</v>
      </c>
      <c r="F13">
        <v>4.6900000000000004</v>
      </c>
      <c r="G13">
        <v>4.6399999999999997</v>
      </c>
    </row>
    <row r="14" spans="1:7" ht="15" x14ac:dyDescent="0.25">
      <c r="A14" s="3" t="s">
        <v>21</v>
      </c>
      <c r="B14" s="3" t="s">
        <v>28</v>
      </c>
      <c r="C14">
        <v>0.14000000000000001</v>
      </c>
      <c r="D14">
        <v>3.66</v>
      </c>
      <c r="E14">
        <v>5.0199999999999996</v>
      </c>
      <c r="F14">
        <v>4.99</v>
      </c>
      <c r="G14">
        <v>4.97</v>
      </c>
    </row>
    <row r="15" spans="1:7" ht="15" x14ac:dyDescent="0.25">
      <c r="A15" s="3" t="s">
        <v>21</v>
      </c>
      <c r="B15" s="3" t="s">
        <v>29</v>
      </c>
      <c r="C15">
        <v>0.11</v>
      </c>
      <c r="D15">
        <v>3.56</v>
      </c>
      <c r="E15">
        <v>5.53</v>
      </c>
      <c r="F15">
        <v>5.25</v>
      </c>
      <c r="G15">
        <v>5.61</v>
      </c>
    </row>
    <row r="16" spans="1:7" ht="15" x14ac:dyDescent="0.25">
      <c r="A16" s="3" t="s">
        <v>21</v>
      </c>
      <c r="B16" s="3" t="s">
        <v>30</v>
      </c>
      <c r="C16">
        <v>1.08</v>
      </c>
      <c r="D16">
        <v>2.4700000000000002</v>
      </c>
      <c r="E16">
        <v>4.09</v>
      </c>
      <c r="F16">
        <v>4.8499999999999996</v>
      </c>
      <c r="G16">
        <v>5.83</v>
      </c>
    </row>
    <row r="17" spans="1:7" ht="15" x14ac:dyDescent="0.25">
      <c r="A17" s="3" t="s">
        <v>21</v>
      </c>
      <c r="B17" s="3" t="s">
        <v>31</v>
      </c>
      <c r="C17">
        <v>0.89</v>
      </c>
      <c r="D17">
        <v>4.75</v>
      </c>
      <c r="E17">
        <v>6.63</v>
      </c>
      <c r="F17">
        <v>6.15</v>
      </c>
      <c r="G17">
        <v>6.38</v>
      </c>
    </row>
    <row r="18" spans="1:7" ht="15" x14ac:dyDescent="0.25">
      <c r="A18" s="3" t="s">
        <v>21</v>
      </c>
      <c r="B18" s="3" t="s">
        <v>32</v>
      </c>
      <c r="C18">
        <v>1.1200000000000001</v>
      </c>
      <c r="D18">
        <v>2.97</v>
      </c>
      <c r="E18">
        <v>5.03</v>
      </c>
      <c r="F18">
        <v>5.01</v>
      </c>
      <c r="G18">
        <v>4.05</v>
      </c>
    </row>
    <row r="19" spans="1:7" ht="15" x14ac:dyDescent="0.25">
      <c r="A19" s="3" t="s">
        <v>21</v>
      </c>
      <c r="B19" s="3" t="s">
        <v>33</v>
      </c>
      <c r="C19">
        <v>1.58</v>
      </c>
      <c r="D19">
        <v>0.57999999999999996</v>
      </c>
      <c r="E19">
        <v>2.88</v>
      </c>
      <c r="F19">
        <v>9.76</v>
      </c>
      <c r="G19">
        <v>2.1800000000000002</v>
      </c>
    </row>
    <row r="20" spans="1:7" ht="15" x14ac:dyDescent="0.25">
      <c r="A20" s="3" t="s">
        <v>21</v>
      </c>
      <c r="B20" s="3" t="s">
        <v>34</v>
      </c>
      <c r="C20">
        <v>1.1499999999999999</v>
      </c>
      <c r="D20">
        <v>2.1800000000000002</v>
      </c>
      <c r="E20">
        <v>4.29</v>
      </c>
      <c r="F20">
        <v>4.6399999999999997</v>
      </c>
      <c r="G20">
        <v>4.8099999999999996</v>
      </c>
    </row>
    <row r="21" spans="1:7" ht="15" x14ac:dyDescent="0.25">
      <c r="A21" s="3" t="s">
        <v>21</v>
      </c>
      <c r="B21" s="3" t="s">
        <v>35</v>
      </c>
      <c r="C21">
        <v>2.13</v>
      </c>
      <c r="D21">
        <v>3.42</v>
      </c>
      <c r="E21">
        <v>5.24</v>
      </c>
      <c r="F21">
        <v>4.97</v>
      </c>
      <c r="G21">
        <v>4.6399999999999997</v>
      </c>
    </row>
    <row r="22" spans="1:7" ht="15" x14ac:dyDescent="0.25">
      <c r="A22" s="3" t="s">
        <v>21</v>
      </c>
      <c r="B22" s="3" t="s">
        <v>36</v>
      </c>
      <c r="C22">
        <v>3.8</v>
      </c>
      <c r="D22">
        <v>5.85</v>
      </c>
      <c r="E22">
        <v>6.31</v>
      </c>
      <c r="F22">
        <v>5.4</v>
      </c>
      <c r="G22">
        <v>4.2</v>
      </c>
    </row>
    <row r="23" spans="1:7" ht="15" x14ac:dyDescent="0.25">
      <c r="A23" s="3" t="s">
        <v>21</v>
      </c>
      <c r="B23" s="3" t="s">
        <v>37</v>
      </c>
      <c r="C23">
        <v>3.39</v>
      </c>
      <c r="D23">
        <v>3.62</v>
      </c>
      <c r="E23">
        <v>5.3</v>
      </c>
      <c r="F23">
        <v>5.32</v>
      </c>
      <c r="G23">
        <v>5.17</v>
      </c>
    </row>
    <row r="24" spans="1:7" ht="15" x14ac:dyDescent="0.25">
      <c r="A24" s="3" t="s">
        <v>21</v>
      </c>
      <c r="B24" s="3" t="s">
        <v>38</v>
      </c>
      <c r="C24">
        <v>2.41</v>
      </c>
      <c r="D24">
        <v>3.46</v>
      </c>
      <c r="E24">
        <v>5.34</v>
      </c>
      <c r="F24">
        <v>5</v>
      </c>
      <c r="G24">
        <v>4.9400000000000004</v>
      </c>
    </row>
    <row r="25" spans="1:7" ht="15" x14ac:dyDescent="0.25">
      <c r="A25" s="3" t="s">
        <v>21</v>
      </c>
      <c r="B25" s="3" t="s">
        <v>39</v>
      </c>
      <c r="C25">
        <v>0.05</v>
      </c>
      <c r="D25">
        <v>3.67</v>
      </c>
      <c r="E25">
        <v>5.03</v>
      </c>
      <c r="F25">
        <v>5.26</v>
      </c>
      <c r="G25">
        <v>5.12</v>
      </c>
    </row>
    <row r="26" spans="1:7" ht="15" x14ac:dyDescent="0.25">
      <c r="A26" s="3" t="s">
        <v>21</v>
      </c>
      <c r="B26" s="3" t="s">
        <v>40</v>
      </c>
      <c r="C26">
        <v>0.41</v>
      </c>
      <c r="D26">
        <v>3.76</v>
      </c>
      <c r="E26">
        <v>5.65</v>
      </c>
      <c r="F26">
        <v>5.0999999999999996</v>
      </c>
      <c r="G26">
        <v>5.15</v>
      </c>
    </row>
    <row r="27" spans="1:7" ht="15" x14ac:dyDescent="0.25">
      <c r="A27" s="3" t="s">
        <v>21</v>
      </c>
      <c r="B27" s="3" t="s">
        <v>41</v>
      </c>
      <c r="C27">
        <v>1.49</v>
      </c>
      <c r="D27">
        <v>3.71</v>
      </c>
      <c r="E27">
        <v>5.35</v>
      </c>
      <c r="F27">
        <v>5.12</v>
      </c>
      <c r="G27">
        <v>5.1100000000000003</v>
      </c>
    </row>
    <row r="28" spans="1:7" ht="15" x14ac:dyDescent="0.25">
      <c r="A28" s="3" t="s">
        <v>21</v>
      </c>
      <c r="B28" s="3" t="s">
        <v>42</v>
      </c>
      <c r="C28">
        <v>2.2799999999999998</v>
      </c>
      <c r="D28">
        <v>3.76</v>
      </c>
      <c r="E28">
        <v>5.41</v>
      </c>
      <c r="F28">
        <v>5.07</v>
      </c>
      <c r="G28">
        <v>4.99</v>
      </c>
    </row>
    <row r="29" spans="1:7" ht="15" x14ac:dyDescent="0.25">
      <c r="A29" s="3" t="s">
        <v>21</v>
      </c>
      <c r="B29" s="3" t="s">
        <v>43</v>
      </c>
      <c r="C29">
        <v>0.98</v>
      </c>
      <c r="D29">
        <v>3.05</v>
      </c>
      <c r="E29">
        <v>5.0999999999999996</v>
      </c>
      <c r="F29">
        <v>5.01</v>
      </c>
      <c r="G29">
        <v>5.0199999999999996</v>
      </c>
    </row>
    <row r="30" spans="1:7" ht="15" x14ac:dyDescent="0.25">
      <c r="A30" s="3" t="s">
        <v>21</v>
      </c>
      <c r="B30" s="3" t="s">
        <v>44</v>
      </c>
      <c r="C30">
        <v>2.58</v>
      </c>
      <c r="D30">
        <v>3.22</v>
      </c>
      <c r="E30">
        <v>4.96</v>
      </c>
      <c r="F30">
        <v>5.43</v>
      </c>
      <c r="G30">
        <v>5.19</v>
      </c>
    </row>
    <row r="31" spans="1:7" ht="15" x14ac:dyDescent="0.25">
      <c r="A31" s="3" t="s">
        <v>21</v>
      </c>
      <c r="B31" s="3" t="s">
        <v>45</v>
      </c>
      <c r="C31">
        <v>1.92</v>
      </c>
      <c r="D31">
        <v>3.76</v>
      </c>
      <c r="E31">
        <v>5.24</v>
      </c>
      <c r="F31">
        <v>5.05</v>
      </c>
      <c r="G31">
        <v>5.47</v>
      </c>
    </row>
    <row r="32" spans="1:7" ht="15" x14ac:dyDescent="0.25">
      <c r="A32" s="3" t="s">
        <v>21</v>
      </c>
      <c r="B32" s="3" t="s">
        <v>46</v>
      </c>
      <c r="C32">
        <v>2.2599999999999998</v>
      </c>
      <c r="D32">
        <v>4.1900000000000004</v>
      </c>
      <c r="E32">
        <v>5.92</v>
      </c>
      <c r="F32">
        <v>5.19</v>
      </c>
      <c r="G32">
        <v>5.26</v>
      </c>
    </row>
    <row r="33" spans="1:13" ht="15" x14ac:dyDescent="0.25">
      <c r="A33" s="3" t="s">
        <v>21</v>
      </c>
      <c r="B33" s="3" t="s">
        <v>47</v>
      </c>
      <c r="C33">
        <v>2.0099999999999998</v>
      </c>
      <c r="D33">
        <v>3.57</v>
      </c>
      <c r="E33">
        <v>5.01</v>
      </c>
      <c r="F33">
        <v>5.96</v>
      </c>
      <c r="G33">
        <v>5.22</v>
      </c>
    </row>
    <row r="34" spans="1:13" ht="15" x14ac:dyDescent="0.25">
      <c r="A34" s="3" t="s">
        <v>21</v>
      </c>
      <c r="B34" s="3" t="s">
        <v>48</v>
      </c>
      <c r="C34">
        <v>0.94</v>
      </c>
      <c r="D34">
        <v>3.69</v>
      </c>
      <c r="E34">
        <v>4.29</v>
      </c>
      <c r="F34">
        <v>4.71</v>
      </c>
      <c r="G34">
        <v>5.48</v>
      </c>
    </row>
    <row r="35" spans="1:13" ht="15" x14ac:dyDescent="0.25">
      <c r="A35" s="3" t="s">
        <v>49</v>
      </c>
      <c r="B35" s="3" t="s">
        <v>50</v>
      </c>
      <c r="C35">
        <v>0.67</v>
      </c>
      <c r="D35">
        <v>3.01</v>
      </c>
      <c r="E35">
        <v>3.47</v>
      </c>
      <c r="F35">
        <v>2.5299999999999998</v>
      </c>
      <c r="G35">
        <v>2.75</v>
      </c>
    </row>
    <row r="36" spans="1:13" ht="15" x14ac:dyDescent="0.25">
      <c r="A36" s="3" t="s">
        <v>49</v>
      </c>
      <c r="B36" s="3" t="s">
        <v>51</v>
      </c>
      <c r="C36">
        <v>0.91</v>
      </c>
      <c r="D36">
        <v>3.18</v>
      </c>
      <c r="E36">
        <v>3.8</v>
      </c>
      <c r="F36">
        <v>2.8</v>
      </c>
      <c r="G36">
        <v>2.95</v>
      </c>
    </row>
    <row r="37" spans="1:13" ht="15" x14ac:dyDescent="0.25">
      <c r="A37" s="3" t="s">
        <v>49</v>
      </c>
      <c r="B37" s="3" t="s">
        <v>52</v>
      </c>
      <c r="C37">
        <v>3.76</v>
      </c>
      <c r="D37">
        <v>4.7</v>
      </c>
      <c r="E37">
        <v>5.47</v>
      </c>
      <c r="F37">
        <v>5.18</v>
      </c>
      <c r="G37">
        <v>5</v>
      </c>
    </row>
    <row r="38" spans="1:13" ht="15" x14ac:dyDescent="0.25">
      <c r="A38" s="3" t="s">
        <v>49</v>
      </c>
      <c r="B38" s="3" t="s">
        <v>53</v>
      </c>
      <c r="C38">
        <v>2.73</v>
      </c>
      <c r="D38">
        <v>3.74</v>
      </c>
      <c r="E38">
        <v>5.03</v>
      </c>
      <c r="F38">
        <v>4.8</v>
      </c>
      <c r="G38">
        <v>4.78</v>
      </c>
    </row>
    <row r="39" spans="1:13" ht="15" x14ac:dyDescent="0.25">
      <c r="A39" s="3" t="s">
        <v>49</v>
      </c>
      <c r="B39" s="3" t="s">
        <v>54</v>
      </c>
      <c r="C39">
        <v>7.36</v>
      </c>
      <c r="D39">
        <v>3.9</v>
      </c>
      <c r="E39">
        <v>5.98</v>
      </c>
      <c r="F39">
        <v>5.57</v>
      </c>
      <c r="G39">
        <v>5.04</v>
      </c>
    </row>
    <row r="40" spans="1:13" ht="15" x14ac:dyDescent="0.25">
      <c r="A40" s="3" t="s">
        <v>49</v>
      </c>
      <c r="B40" s="3" t="s">
        <v>55</v>
      </c>
      <c r="C40">
        <v>1.23</v>
      </c>
      <c r="D40">
        <v>5.24</v>
      </c>
      <c r="E40">
        <v>4.51</v>
      </c>
      <c r="F40">
        <v>4.82</v>
      </c>
      <c r="G40">
        <v>4.84</v>
      </c>
    </row>
    <row r="41" spans="1:13" ht="15" x14ac:dyDescent="0.25">
      <c r="A41" s="3" t="s">
        <v>49</v>
      </c>
      <c r="B41" s="3" t="s">
        <v>56</v>
      </c>
      <c r="C41">
        <v>1.29</v>
      </c>
      <c r="D41">
        <v>3.88</v>
      </c>
      <c r="E41">
        <v>4.71</v>
      </c>
      <c r="F41">
        <v>4.74</v>
      </c>
      <c r="G41">
        <v>4.71</v>
      </c>
    </row>
    <row r="42" spans="1:13" ht="15" x14ac:dyDescent="0.25">
      <c r="A42" s="3" t="s">
        <v>49</v>
      </c>
      <c r="B42" s="3" t="s">
        <v>57</v>
      </c>
      <c r="C42">
        <v>1.01</v>
      </c>
      <c r="D42">
        <v>4.8099999999999996</v>
      </c>
      <c r="E42">
        <v>5.81</v>
      </c>
      <c r="F42">
        <v>5.36</v>
      </c>
      <c r="G42">
        <v>5.0199999999999996</v>
      </c>
    </row>
    <row r="43" spans="1:13" x14ac:dyDescent="0.2">
      <c r="H43" t="s">
        <v>58</v>
      </c>
    </row>
    <row r="44" spans="1:13" x14ac:dyDescent="0.2">
      <c r="H44" t="s">
        <v>59</v>
      </c>
      <c r="I44">
        <f>AVERAGE(C2:C42)</f>
        <v>1.8785365853658536</v>
      </c>
      <c r="J44">
        <f t="shared" ref="J44:M44" si="0">AVERAGE(D2:D42)</f>
        <v>3.5919512195121954</v>
      </c>
      <c r="K44">
        <f t="shared" si="0"/>
        <v>5.0007317073170734</v>
      </c>
      <c r="L44">
        <f t="shared" si="0"/>
        <v>5.1724390243902452</v>
      </c>
      <c r="M44">
        <f t="shared" si="0"/>
        <v>4.7678048780487812</v>
      </c>
    </row>
  </sheetData>
  <pageMargins left="0.7" right="0.7" top="0.75" bottom="0.75" header="0.3" footer="0.3"/>
  <ignoredErrors>
    <ignoredError sqref="I44 J44:M44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E930-CC7A-4C6C-9355-1A1567D4883A}">
  <dimension ref="A1:M48"/>
  <sheetViews>
    <sheetView topLeftCell="A11" workbookViewId="0">
      <selection activeCell="H43" sqref="H43:M45"/>
    </sheetView>
  </sheetViews>
  <sheetFormatPr defaultRowHeight="12.75" x14ac:dyDescent="0.2"/>
  <cols>
    <col min="2" max="2" width="18.140625" customWidth="1"/>
  </cols>
  <sheetData>
    <row r="1" spans="1:7" x14ac:dyDescent="0.2">
      <c r="A1" s="1" t="s">
        <v>0</v>
      </c>
      <c r="B1" s="1" t="s">
        <v>1</v>
      </c>
      <c r="C1">
        <v>2020</v>
      </c>
      <c r="D1">
        <v>2021</v>
      </c>
      <c r="E1">
        <v>2022</v>
      </c>
      <c r="F1">
        <v>2023</v>
      </c>
      <c r="G1">
        <v>2024</v>
      </c>
    </row>
    <row r="2" spans="1:7" ht="15" x14ac:dyDescent="0.25">
      <c r="A2" s="3" t="s">
        <v>14</v>
      </c>
      <c r="B2" s="3" t="s">
        <v>15</v>
      </c>
      <c r="C2" s="7">
        <v>7.37</v>
      </c>
      <c r="D2" s="7">
        <v>8.58</v>
      </c>
      <c r="E2" s="7">
        <v>8.4700000000000006</v>
      </c>
      <c r="F2" s="7">
        <v>8.11</v>
      </c>
      <c r="G2" s="7">
        <v>7.93</v>
      </c>
    </row>
    <row r="3" spans="1:7" ht="15" x14ac:dyDescent="0.25">
      <c r="A3" s="3" t="s">
        <v>14</v>
      </c>
      <c r="B3" s="3" t="s">
        <v>16</v>
      </c>
      <c r="C3" s="7">
        <v>10.79</v>
      </c>
      <c r="D3" s="7">
        <v>7.33</v>
      </c>
      <c r="E3" s="7">
        <v>5.63</v>
      </c>
      <c r="F3" s="7">
        <v>5.37</v>
      </c>
      <c r="G3" s="7">
        <v>5.22</v>
      </c>
    </row>
    <row r="4" spans="1:7" ht="15" x14ac:dyDescent="0.25">
      <c r="A4" s="3" t="s">
        <v>14</v>
      </c>
      <c r="B4" s="3" t="s">
        <v>17</v>
      </c>
      <c r="C4" s="7">
        <v>9.2899999999999991</v>
      </c>
      <c r="D4" s="7">
        <v>8.23</v>
      </c>
      <c r="E4" s="7">
        <v>8.39</v>
      </c>
      <c r="F4" s="7">
        <v>7.24</v>
      </c>
      <c r="G4" s="7">
        <v>6.95</v>
      </c>
    </row>
    <row r="5" spans="1:7" ht="15" x14ac:dyDescent="0.25">
      <c r="A5" s="3" t="s">
        <v>14</v>
      </c>
      <c r="B5" s="3" t="s">
        <v>18</v>
      </c>
      <c r="C5" s="7">
        <v>10.97</v>
      </c>
      <c r="D5" s="7">
        <v>7.75</v>
      </c>
      <c r="E5" s="7">
        <v>5.88</v>
      </c>
      <c r="F5" s="7">
        <v>6.42</v>
      </c>
      <c r="G5" s="7">
        <v>6.24</v>
      </c>
    </row>
    <row r="6" spans="1:7" ht="15" x14ac:dyDescent="0.25">
      <c r="A6" s="3" t="s">
        <v>14</v>
      </c>
      <c r="B6" s="3" t="s">
        <v>19</v>
      </c>
      <c r="C6" s="7">
        <v>12.27</v>
      </c>
      <c r="D6" s="7">
        <v>9.06</v>
      </c>
      <c r="E6" s="7">
        <v>7.1</v>
      </c>
      <c r="F6" s="7">
        <v>6.39</v>
      </c>
      <c r="G6" s="7">
        <v>6.18</v>
      </c>
    </row>
    <row r="7" spans="1:7" ht="15" x14ac:dyDescent="0.25">
      <c r="A7" s="3" t="s">
        <v>14</v>
      </c>
      <c r="B7" s="3" t="s">
        <v>20</v>
      </c>
      <c r="C7" s="7">
        <v>11.79</v>
      </c>
      <c r="D7" s="7">
        <v>9.84</v>
      </c>
      <c r="E7" s="7">
        <v>8.0399999999999991</v>
      </c>
      <c r="F7" s="7">
        <v>7.05</v>
      </c>
      <c r="G7" s="7">
        <v>6.18</v>
      </c>
    </row>
    <row r="8" spans="1:7" ht="15" x14ac:dyDescent="0.25">
      <c r="A8" s="3" t="s">
        <v>21</v>
      </c>
      <c r="B8" s="3" t="s">
        <v>22</v>
      </c>
      <c r="C8" s="7">
        <v>14.29</v>
      </c>
      <c r="D8" s="7">
        <v>12.22</v>
      </c>
      <c r="E8" s="7">
        <v>10.64</v>
      </c>
      <c r="F8" s="7">
        <v>8.4700000000000006</v>
      </c>
      <c r="G8" s="7">
        <v>7.34</v>
      </c>
    </row>
    <row r="9" spans="1:7" ht="15" x14ac:dyDescent="0.25">
      <c r="A9" s="3" t="s">
        <v>21</v>
      </c>
      <c r="B9" s="3" t="s">
        <v>23</v>
      </c>
      <c r="C9" s="7">
        <v>9.6</v>
      </c>
      <c r="D9" s="7">
        <v>9.51</v>
      </c>
      <c r="E9" s="7">
        <v>7.77</v>
      </c>
      <c r="F9" s="7">
        <v>7.32</v>
      </c>
      <c r="G9" s="8">
        <v>7.11</v>
      </c>
    </row>
    <row r="10" spans="1:7" ht="15" x14ac:dyDescent="0.25">
      <c r="A10" s="3" t="s">
        <v>21</v>
      </c>
      <c r="B10" s="3" t="s">
        <v>24</v>
      </c>
      <c r="C10" s="7">
        <v>11.05</v>
      </c>
      <c r="D10" s="7">
        <v>9.32</v>
      </c>
      <c r="E10" s="7">
        <v>8.41</v>
      </c>
      <c r="F10" s="7">
        <v>7.71</v>
      </c>
      <c r="G10" s="7">
        <v>5.99</v>
      </c>
    </row>
    <row r="11" spans="1:7" ht="15" x14ac:dyDescent="0.25">
      <c r="A11" s="3" t="s">
        <v>21</v>
      </c>
      <c r="B11" s="3" t="s">
        <v>25</v>
      </c>
      <c r="C11" s="7">
        <v>8.58</v>
      </c>
      <c r="D11" s="7">
        <v>8.32</v>
      </c>
      <c r="E11" s="7">
        <v>6.98</v>
      </c>
      <c r="F11" s="7">
        <v>6.52</v>
      </c>
      <c r="G11" s="7">
        <v>6.36</v>
      </c>
    </row>
    <row r="12" spans="1:7" ht="15" x14ac:dyDescent="0.25">
      <c r="A12" s="3" t="s">
        <v>21</v>
      </c>
      <c r="B12" s="3" t="s">
        <v>26</v>
      </c>
      <c r="C12" s="7">
        <v>8.9499999999999993</v>
      </c>
      <c r="D12" s="7">
        <v>8.68</v>
      </c>
      <c r="E12" s="7">
        <v>7.6</v>
      </c>
      <c r="F12" s="7">
        <v>7.33</v>
      </c>
      <c r="G12" s="7">
        <v>6.96</v>
      </c>
    </row>
    <row r="13" spans="1:7" ht="15" x14ac:dyDescent="0.25">
      <c r="A13" s="3" t="s">
        <v>21</v>
      </c>
      <c r="B13" s="3" t="s">
        <v>27</v>
      </c>
      <c r="C13" s="7">
        <v>7.12</v>
      </c>
      <c r="D13" s="7">
        <v>6.16</v>
      </c>
      <c r="E13" s="7">
        <v>4.17</v>
      </c>
      <c r="F13" s="7">
        <v>3.89</v>
      </c>
      <c r="G13" s="7">
        <v>3.74</v>
      </c>
    </row>
    <row r="14" spans="1:7" ht="15" x14ac:dyDescent="0.25">
      <c r="A14" s="3" t="s">
        <v>21</v>
      </c>
      <c r="B14" s="3" t="s">
        <v>28</v>
      </c>
      <c r="C14" s="7">
        <v>5.66</v>
      </c>
      <c r="D14" s="7">
        <v>5.0599999999999996</v>
      </c>
      <c r="E14" s="7">
        <v>3.75</v>
      </c>
      <c r="F14" s="7">
        <v>3.52</v>
      </c>
      <c r="G14" s="7">
        <v>3.37</v>
      </c>
    </row>
    <row r="15" spans="1:7" ht="15" x14ac:dyDescent="0.25">
      <c r="A15" s="3" t="s">
        <v>21</v>
      </c>
      <c r="B15" s="3" t="s">
        <v>29</v>
      </c>
      <c r="C15" s="7">
        <v>11.22</v>
      </c>
      <c r="D15" s="7">
        <v>11.68</v>
      </c>
      <c r="E15" s="7">
        <v>9.81</v>
      </c>
      <c r="F15" s="7">
        <v>9.49</v>
      </c>
      <c r="G15" s="7">
        <v>7.78</v>
      </c>
    </row>
    <row r="16" spans="1:7" ht="15" x14ac:dyDescent="0.25">
      <c r="A16" s="3" t="s">
        <v>21</v>
      </c>
      <c r="B16" s="3" t="s">
        <v>30</v>
      </c>
      <c r="C16" s="7">
        <v>11.52</v>
      </c>
      <c r="D16" s="7">
        <v>10.38</v>
      </c>
      <c r="E16" s="7">
        <v>8.11</v>
      </c>
      <c r="F16" s="7">
        <v>7.65</v>
      </c>
      <c r="G16" s="7">
        <v>6.74</v>
      </c>
    </row>
    <row r="17" spans="1:7" ht="15" x14ac:dyDescent="0.25">
      <c r="A17" s="3" t="s">
        <v>21</v>
      </c>
      <c r="B17" s="3" t="s">
        <v>31</v>
      </c>
      <c r="C17" s="7">
        <v>5.84</v>
      </c>
      <c r="D17" s="7">
        <v>5.71</v>
      </c>
      <c r="E17" s="7">
        <v>4.16</v>
      </c>
      <c r="F17" s="7">
        <v>4.12</v>
      </c>
      <c r="G17" s="7">
        <v>4.01</v>
      </c>
    </row>
    <row r="18" spans="1:7" ht="15" x14ac:dyDescent="0.25">
      <c r="A18" s="3" t="s">
        <v>21</v>
      </c>
      <c r="B18" s="3" t="s">
        <v>32</v>
      </c>
      <c r="C18" s="7">
        <v>9.89</v>
      </c>
      <c r="D18" s="7">
        <v>9.18</v>
      </c>
      <c r="E18" s="7">
        <v>7.72</v>
      </c>
      <c r="F18" s="7">
        <v>6.94</v>
      </c>
      <c r="G18" s="7">
        <v>6.16</v>
      </c>
    </row>
    <row r="19" spans="1:7" ht="15" x14ac:dyDescent="0.25">
      <c r="A19" s="3" t="s">
        <v>21</v>
      </c>
      <c r="B19" s="3" t="s">
        <v>33</v>
      </c>
      <c r="C19" s="7">
        <v>9.2100000000000009</v>
      </c>
      <c r="D19" s="7">
        <v>8.3000000000000007</v>
      </c>
      <c r="E19" s="7">
        <v>6.49</v>
      </c>
      <c r="F19" s="7">
        <v>6.46</v>
      </c>
      <c r="G19" s="7">
        <v>6.25</v>
      </c>
    </row>
    <row r="20" spans="1:7" ht="15" x14ac:dyDescent="0.25">
      <c r="A20" s="3" t="s">
        <v>21</v>
      </c>
      <c r="B20" s="3" t="s">
        <v>34</v>
      </c>
      <c r="C20" s="7">
        <v>9.48</v>
      </c>
      <c r="D20" s="7">
        <v>9.77</v>
      </c>
      <c r="E20" s="7">
        <v>7.77</v>
      </c>
      <c r="F20" s="7">
        <v>7.65</v>
      </c>
      <c r="G20" s="7">
        <v>6.73</v>
      </c>
    </row>
    <row r="21" spans="1:7" ht="15" x14ac:dyDescent="0.25">
      <c r="A21" s="3" t="s">
        <v>21</v>
      </c>
      <c r="B21" s="3" t="s">
        <v>35</v>
      </c>
      <c r="C21" s="7">
        <v>11.07</v>
      </c>
      <c r="D21" s="7">
        <v>10.7</v>
      </c>
      <c r="E21" s="7">
        <v>8.75</v>
      </c>
      <c r="F21" s="7">
        <v>7.72</v>
      </c>
      <c r="G21" s="7">
        <v>7.34</v>
      </c>
    </row>
    <row r="22" spans="1:7" ht="15" x14ac:dyDescent="0.25">
      <c r="A22" s="3" t="s">
        <v>21</v>
      </c>
      <c r="B22" s="3" t="s">
        <v>36</v>
      </c>
      <c r="C22" s="7">
        <v>11.52</v>
      </c>
      <c r="D22" s="7">
        <v>11.83</v>
      </c>
      <c r="E22" s="7">
        <v>9.8699999999999992</v>
      </c>
      <c r="F22" s="7">
        <v>8.9499999999999993</v>
      </c>
      <c r="G22" s="7">
        <v>8.0399999999999991</v>
      </c>
    </row>
    <row r="23" spans="1:7" ht="15" x14ac:dyDescent="0.25">
      <c r="A23" s="3" t="s">
        <v>21</v>
      </c>
      <c r="B23" s="3" t="s">
        <v>37</v>
      </c>
      <c r="C23" s="7">
        <v>11.54</v>
      </c>
      <c r="D23" s="7">
        <v>10.09</v>
      </c>
      <c r="E23" s="7">
        <v>10.31</v>
      </c>
      <c r="F23" s="7">
        <v>8.8699999999999992</v>
      </c>
      <c r="G23" s="7">
        <v>8.82</v>
      </c>
    </row>
    <row r="24" spans="1:7" ht="15" x14ac:dyDescent="0.25">
      <c r="A24" s="3" t="s">
        <v>21</v>
      </c>
      <c r="B24" s="3" t="s">
        <v>38</v>
      </c>
      <c r="C24" s="7">
        <v>12.25</v>
      </c>
      <c r="D24" s="7">
        <v>11.65</v>
      </c>
      <c r="E24" s="7">
        <v>9.6300000000000008</v>
      </c>
      <c r="F24" s="7">
        <v>8.11</v>
      </c>
      <c r="G24" s="7">
        <v>6.7</v>
      </c>
    </row>
    <row r="25" spans="1:7" ht="15" x14ac:dyDescent="0.25">
      <c r="A25" s="3" t="s">
        <v>21</v>
      </c>
      <c r="B25" s="3" t="s">
        <v>39</v>
      </c>
      <c r="C25" s="7">
        <v>5.08</v>
      </c>
      <c r="D25" s="7">
        <v>3.25</v>
      </c>
      <c r="E25" s="7">
        <v>1.56</v>
      </c>
      <c r="F25" s="7">
        <v>1.52</v>
      </c>
      <c r="G25" s="7">
        <v>1.58</v>
      </c>
    </row>
    <row r="26" spans="1:7" ht="15" x14ac:dyDescent="0.25">
      <c r="A26" s="3" t="s">
        <v>21</v>
      </c>
      <c r="B26" s="3" t="s">
        <v>40</v>
      </c>
      <c r="C26" s="7">
        <v>12.68</v>
      </c>
      <c r="D26" s="7">
        <v>11.79</v>
      </c>
      <c r="E26" s="7">
        <v>10.78</v>
      </c>
      <c r="F26" s="7">
        <v>9.39</v>
      </c>
      <c r="G26" s="7">
        <v>8.1300000000000008</v>
      </c>
    </row>
    <row r="27" spans="1:7" ht="15" x14ac:dyDescent="0.25">
      <c r="A27" s="3" t="s">
        <v>21</v>
      </c>
      <c r="B27" s="3" t="s">
        <v>41</v>
      </c>
      <c r="C27" s="7">
        <v>12.17</v>
      </c>
      <c r="D27" s="7">
        <v>10.78</v>
      </c>
      <c r="E27" s="7">
        <v>8.83</v>
      </c>
      <c r="F27" s="7">
        <v>8.5299999999999994</v>
      </c>
      <c r="G27" s="7">
        <v>8.34</v>
      </c>
    </row>
    <row r="28" spans="1:7" ht="15" x14ac:dyDescent="0.25">
      <c r="A28" s="3" t="s">
        <v>21</v>
      </c>
      <c r="B28" s="3" t="s">
        <v>42</v>
      </c>
      <c r="C28" s="7">
        <v>11.19</v>
      </c>
      <c r="D28" s="7">
        <v>11.46</v>
      </c>
      <c r="E28" s="7">
        <v>9.5500000000000007</v>
      </c>
      <c r="F28" s="7">
        <v>8.83</v>
      </c>
      <c r="G28" s="7">
        <v>7.4</v>
      </c>
    </row>
    <row r="29" spans="1:7" ht="15" x14ac:dyDescent="0.25">
      <c r="A29" s="3" t="s">
        <v>21</v>
      </c>
      <c r="B29" s="3" t="s">
        <v>43</v>
      </c>
      <c r="C29" s="7">
        <v>10.97</v>
      </c>
      <c r="D29" s="7">
        <v>10.53</v>
      </c>
      <c r="E29" s="7">
        <v>8.42</v>
      </c>
      <c r="F29" s="7">
        <v>7.66</v>
      </c>
      <c r="G29" s="7">
        <v>6.29</v>
      </c>
    </row>
    <row r="30" spans="1:7" ht="15" x14ac:dyDescent="0.25">
      <c r="A30" s="3" t="s">
        <v>21</v>
      </c>
      <c r="B30" s="3" t="s">
        <v>44</v>
      </c>
      <c r="C30" s="7">
        <v>10.68</v>
      </c>
      <c r="D30" s="7">
        <v>10.88</v>
      </c>
      <c r="E30" s="7">
        <v>8.81</v>
      </c>
      <c r="F30" s="7">
        <v>7.9</v>
      </c>
      <c r="G30" s="7">
        <v>7.82</v>
      </c>
    </row>
    <row r="31" spans="1:7" ht="15" x14ac:dyDescent="0.25">
      <c r="A31" s="3" t="s">
        <v>21</v>
      </c>
      <c r="B31" s="3" t="s">
        <v>45</v>
      </c>
      <c r="C31" s="7">
        <v>9.8699999999999992</v>
      </c>
      <c r="D31" s="7">
        <v>9.76</v>
      </c>
      <c r="E31" s="7">
        <v>7.82</v>
      </c>
      <c r="F31" s="7">
        <v>6.97</v>
      </c>
      <c r="G31" s="7">
        <v>6.27</v>
      </c>
    </row>
    <row r="32" spans="1:7" ht="15" x14ac:dyDescent="0.25">
      <c r="A32" s="3" t="s">
        <v>21</v>
      </c>
      <c r="B32" s="3" t="s">
        <v>46</v>
      </c>
      <c r="C32" s="7">
        <v>13.3</v>
      </c>
      <c r="D32" s="7">
        <v>13.07</v>
      </c>
      <c r="E32" s="7">
        <v>10.77</v>
      </c>
      <c r="F32" s="7">
        <v>10.52</v>
      </c>
      <c r="G32" s="7">
        <v>8.9700000000000006</v>
      </c>
    </row>
    <row r="33" spans="1:13" ht="15" x14ac:dyDescent="0.25">
      <c r="A33" s="3" t="s">
        <v>21</v>
      </c>
      <c r="B33" s="3" t="s">
        <v>47</v>
      </c>
      <c r="C33" s="7">
        <v>7.99</v>
      </c>
      <c r="D33" s="7">
        <v>7.66</v>
      </c>
      <c r="E33" s="7">
        <v>6.62</v>
      </c>
      <c r="F33" s="7">
        <v>6.55</v>
      </c>
      <c r="G33" s="7">
        <v>6.49</v>
      </c>
    </row>
    <row r="34" spans="1:13" ht="15" x14ac:dyDescent="0.25">
      <c r="A34" s="3" t="s">
        <v>21</v>
      </c>
      <c r="B34" s="3" t="s">
        <v>48</v>
      </c>
      <c r="C34" s="7">
        <v>6.73</v>
      </c>
      <c r="D34" s="7">
        <v>6.09</v>
      </c>
      <c r="E34" s="7">
        <v>5.53</v>
      </c>
      <c r="F34" s="7">
        <v>5.43</v>
      </c>
      <c r="G34" s="7">
        <v>5.44</v>
      </c>
    </row>
    <row r="35" spans="1:13" ht="15" x14ac:dyDescent="0.25">
      <c r="A35" s="3" t="s">
        <v>49</v>
      </c>
      <c r="B35" s="3" t="s">
        <v>50</v>
      </c>
      <c r="C35" s="7">
        <v>9.15</v>
      </c>
      <c r="D35" s="7">
        <v>7.7</v>
      </c>
      <c r="E35" s="7">
        <v>9.24</v>
      </c>
      <c r="F35" s="7">
        <v>9.0500000000000007</v>
      </c>
      <c r="G35" s="7">
        <v>8.09</v>
      </c>
    </row>
    <row r="36" spans="1:13" ht="15" x14ac:dyDescent="0.25">
      <c r="A36" s="3" t="s">
        <v>49</v>
      </c>
      <c r="B36" s="3" t="s">
        <v>51</v>
      </c>
      <c r="C36" s="7">
        <v>9.6300000000000008</v>
      </c>
      <c r="D36" s="7">
        <v>7.86</v>
      </c>
      <c r="E36" s="7">
        <v>8.5500000000000007</v>
      </c>
      <c r="F36" s="7">
        <v>7.57</v>
      </c>
      <c r="G36" s="7">
        <v>6.23</v>
      </c>
    </row>
    <row r="37" spans="1:13" ht="15" x14ac:dyDescent="0.25">
      <c r="A37" s="3" t="s">
        <v>49</v>
      </c>
      <c r="B37" s="3" t="s">
        <v>52</v>
      </c>
      <c r="C37" s="7">
        <v>13.06</v>
      </c>
      <c r="D37" s="7">
        <v>9.06</v>
      </c>
      <c r="E37" s="7">
        <v>7.88</v>
      </c>
      <c r="F37" s="7">
        <v>6.94</v>
      </c>
      <c r="G37" s="7">
        <v>6.06</v>
      </c>
    </row>
    <row r="38" spans="1:13" ht="15" x14ac:dyDescent="0.25">
      <c r="A38" s="3" t="s">
        <v>49</v>
      </c>
      <c r="B38" s="3" t="s">
        <v>53</v>
      </c>
      <c r="C38" s="7">
        <v>12.22</v>
      </c>
      <c r="D38" s="7">
        <v>10.58</v>
      </c>
      <c r="E38" s="7">
        <v>10.61</v>
      </c>
      <c r="F38" s="7">
        <v>9.94</v>
      </c>
      <c r="G38" s="7">
        <v>9.18</v>
      </c>
    </row>
    <row r="39" spans="1:13" ht="15" x14ac:dyDescent="0.25">
      <c r="A39" s="3" t="s">
        <v>49</v>
      </c>
      <c r="B39" s="3" t="s">
        <v>54</v>
      </c>
      <c r="C39" s="7">
        <v>8.6300000000000008</v>
      </c>
      <c r="D39" s="7">
        <v>9.07</v>
      </c>
      <c r="E39" s="7">
        <v>7.16</v>
      </c>
      <c r="F39" s="7">
        <v>6.76</v>
      </c>
      <c r="G39" s="7">
        <v>5.92</v>
      </c>
    </row>
    <row r="40" spans="1:13" ht="15" x14ac:dyDescent="0.25">
      <c r="A40" s="3" t="s">
        <v>49</v>
      </c>
      <c r="B40" s="3" t="s">
        <v>55</v>
      </c>
      <c r="C40" s="7">
        <v>12.69</v>
      </c>
      <c r="D40" s="7">
        <v>10.130000000000001</v>
      </c>
      <c r="E40" s="7">
        <v>8.1</v>
      </c>
      <c r="F40" s="7">
        <v>7.25</v>
      </c>
      <c r="G40" s="7">
        <v>6.08</v>
      </c>
    </row>
    <row r="41" spans="1:13" ht="15" x14ac:dyDescent="0.25">
      <c r="A41" s="3" t="s">
        <v>49</v>
      </c>
      <c r="B41" s="3" t="s">
        <v>56</v>
      </c>
      <c r="C41" s="7">
        <v>9.26</v>
      </c>
      <c r="D41" s="7">
        <v>9.41</v>
      </c>
      <c r="E41" s="7">
        <v>8.17</v>
      </c>
      <c r="F41" s="7">
        <v>7.45</v>
      </c>
      <c r="G41" s="7">
        <v>7.12</v>
      </c>
    </row>
    <row r="42" spans="1:13" ht="15" x14ac:dyDescent="0.25">
      <c r="A42" s="3" t="s">
        <v>49</v>
      </c>
      <c r="B42" s="3" t="s">
        <v>57</v>
      </c>
      <c r="C42" s="7">
        <v>8.48</v>
      </c>
      <c r="D42" s="7">
        <v>8.6</v>
      </c>
      <c r="E42" s="7">
        <v>6.59</v>
      </c>
      <c r="F42" s="7">
        <v>5.81</v>
      </c>
      <c r="G42" s="7">
        <v>5.09</v>
      </c>
    </row>
    <row r="43" spans="1:13" x14ac:dyDescent="0.2">
      <c r="H43" t="s">
        <v>61</v>
      </c>
      <c r="I43">
        <f>MIN(C2:C42)</f>
        <v>5.08</v>
      </c>
      <c r="J43">
        <f t="shared" ref="J43:M43" si="0">MIN(D2:D42)</f>
        <v>3.25</v>
      </c>
      <c r="K43">
        <f t="shared" si="0"/>
        <v>1.56</v>
      </c>
      <c r="L43">
        <f t="shared" si="0"/>
        <v>1.52</v>
      </c>
      <c r="M43">
        <f t="shared" si="0"/>
        <v>1.58</v>
      </c>
    </row>
    <row r="44" spans="1:13" x14ac:dyDescent="0.2">
      <c r="H44" t="s">
        <v>59</v>
      </c>
      <c r="I44">
        <f>AVERAGE(C2:C42)</f>
        <v>10.123170731707319</v>
      </c>
      <c r="J44">
        <f t="shared" ref="J44:M44" si="1">AVERAGE(D2:D42)</f>
        <v>9.1958536585365867</v>
      </c>
      <c r="K44">
        <f t="shared" si="1"/>
        <v>7.8156097560975635</v>
      </c>
      <c r="L44">
        <f t="shared" si="1"/>
        <v>7.2041463414634164</v>
      </c>
      <c r="M44">
        <f t="shared" si="1"/>
        <v>6.5521951219512191</v>
      </c>
    </row>
    <row r="45" spans="1:13" x14ac:dyDescent="0.2">
      <c r="H45" t="s">
        <v>60</v>
      </c>
      <c r="I45">
        <f>MAX(C2:C42)</f>
        <v>14.29</v>
      </c>
      <c r="J45">
        <f t="shared" ref="J45:M45" si="2">MAX(D2:D42)</f>
        <v>13.07</v>
      </c>
      <c r="K45">
        <f t="shared" si="2"/>
        <v>10.78</v>
      </c>
      <c r="L45">
        <f t="shared" si="2"/>
        <v>10.52</v>
      </c>
      <c r="M45">
        <f t="shared" si="2"/>
        <v>9.18</v>
      </c>
    </row>
    <row r="46" spans="1:13" x14ac:dyDescent="0.2">
      <c r="H46" t="s">
        <v>62</v>
      </c>
      <c r="I46" s="9" t="s">
        <v>63</v>
      </c>
    </row>
    <row r="47" spans="1:13" x14ac:dyDescent="0.2">
      <c r="I47" s="9" t="s">
        <v>64</v>
      </c>
    </row>
    <row r="48" spans="1:13" x14ac:dyDescent="0.2">
      <c r="I48" s="9" t="s">
        <v>65</v>
      </c>
    </row>
  </sheetData>
  <hyperlinks>
    <hyperlink ref="I46" r:id="rId1" display="https://jabar.bps.go.id/id/statistics-table/2/NzMjMg==/tingkat-pengangguran-terbuka-kabupaten-kota.html" xr:uid="{725723F6-4B28-4F69-AD80-DD91EDAFA4A9}"/>
    <hyperlink ref="I47" r:id="rId2" display="https://banten.bps.go.id/id/statistics-table/2/MTU3IzI=/tingkat-pengangguran-terbuka-tpt-menurut-kabupaten-kota.html" xr:uid="{1B41E43B-5D77-4ECE-8DD5-987D44A8AA2B}"/>
    <hyperlink ref="I48" r:id="rId3" display="https://jakarta.bps.go.id/id/statistics-table/2/ODQjMg==/tingkat-pengangguran-terbuka-tpt-provinsi-dki-jakarta-menurut-kabupaten-kota.html" xr:uid="{5090490F-11AB-466A-BA60-72BE89FFF498}"/>
  </hyperlinks>
  <pageMargins left="0.7" right="0.7" top="0.75" bottom="0.75" header="0.3" footer="0.3"/>
  <ignoredErrors>
    <ignoredError sqref="I44:M44 I43 J43:M43 I45 J45:M4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B19E-1C20-4E4D-9452-00B3990565CA}">
  <dimension ref="A1:J51"/>
  <sheetViews>
    <sheetView tabSelected="1" zoomScale="162" workbookViewId="0">
      <selection activeCell="J7" sqref="J7"/>
    </sheetView>
  </sheetViews>
  <sheetFormatPr defaultRowHeight="12.75" x14ac:dyDescent="0.2"/>
  <cols>
    <col min="1" max="2" width="9.140625" style="2"/>
    <col min="10" max="10" width="23" bestFit="1" customWidth="1"/>
  </cols>
  <sheetData>
    <row r="1" spans="1:10" x14ac:dyDescent="0.2">
      <c r="A1" s="1" t="s">
        <v>0</v>
      </c>
      <c r="B1" s="1" t="s">
        <v>1</v>
      </c>
      <c r="D1" s="7" t="s">
        <v>67</v>
      </c>
      <c r="E1" s="7" t="s">
        <v>67</v>
      </c>
      <c r="F1" s="7" t="s">
        <v>67</v>
      </c>
      <c r="G1" s="7" t="s">
        <v>67</v>
      </c>
      <c r="H1" s="7" t="s">
        <v>67</v>
      </c>
      <c r="I1" s="7" t="s">
        <v>68</v>
      </c>
      <c r="J1" s="7" t="s">
        <v>69</v>
      </c>
    </row>
    <row r="2" spans="1:10" ht="15" x14ac:dyDescent="0.25">
      <c r="A2" s="3" t="s">
        <v>14</v>
      </c>
      <c r="B2" s="3" t="s">
        <v>15</v>
      </c>
      <c r="D2" s="10">
        <v>27749</v>
      </c>
      <c r="E2" s="10">
        <v>27996</v>
      </c>
      <c r="F2" s="10">
        <v>28262</v>
      </c>
      <c r="G2" s="10">
        <v>28523</v>
      </c>
      <c r="H2" s="10">
        <v>30420</v>
      </c>
      <c r="I2" cm="1">
        <f t="array" ref="I2">SUM(D2:H2/5)</f>
        <v>28590</v>
      </c>
      <c r="J2" s="14">
        <f t="shared" ref="J2:J42" si="0">I2/SUM(I$2:I$42)</f>
        <v>4.7606475668538259E-4</v>
      </c>
    </row>
    <row r="3" spans="1:10" ht="15" x14ac:dyDescent="0.25">
      <c r="A3" s="3" t="s">
        <v>14</v>
      </c>
      <c r="B3" s="3" t="s">
        <v>16</v>
      </c>
      <c r="D3" s="10">
        <v>2226812</v>
      </c>
      <c r="E3" s="10">
        <v>2232442</v>
      </c>
      <c r="F3" s="10">
        <v>2234262</v>
      </c>
      <c r="G3" s="10">
        <v>2235606</v>
      </c>
      <c r="H3" s="10">
        <v>2410000</v>
      </c>
      <c r="I3" cm="1">
        <f t="array" ref="I3">SUM(D3:H3/5)</f>
        <v>2267824.4000000004</v>
      </c>
      <c r="J3" s="12">
        <f t="shared" si="0"/>
        <v>3.7762548834948374E-2</v>
      </c>
    </row>
    <row r="4" spans="1:10" ht="15" x14ac:dyDescent="0.25">
      <c r="A4" s="3" t="s">
        <v>14</v>
      </c>
      <c r="B4" s="3" t="s">
        <v>17</v>
      </c>
      <c r="D4" s="10">
        <v>3037139</v>
      </c>
      <c r="E4" s="10">
        <v>3051866</v>
      </c>
      <c r="F4" s="10">
        <v>3066074</v>
      </c>
      <c r="G4" s="10">
        <v>3079618</v>
      </c>
      <c r="H4" s="10">
        <v>3310000</v>
      </c>
      <c r="I4" cm="1">
        <f t="array" ref="I4">SUM(D4:H4/5)</f>
        <v>3108939.4</v>
      </c>
      <c r="J4" s="12">
        <f t="shared" si="0"/>
        <v>5.1768327352591792E-2</v>
      </c>
    </row>
    <row r="5" spans="1:10" ht="15" x14ac:dyDescent="0.25">
      <c r="A5" s="3" t="s">
        <v>14</v>
      </c>
      <c r="B5" s="3" t="s">
        <v>18</v>
      </c>
      <c r="D5" s="10">
        <v>1056896</v>
      </c>
      <c r="E5" s="10">
        <v>1057465</v>
      </c>
      <c r="F5" s="10">
        <v>1053482</v>
      </c>
      <c r="G5" s="10">
        <v>1049314</v>
      </c>
      <c r="H5" s="10">
        <v>1100000</v>
      </c>
      <c r="I5" cm="1">
        <f t="array" ref="I5">SUM(D5:H5/5)</f>
        <v>1063431.3999999999</v>
      </c>
      <c r="J5" s="12">
        <f t="shared" si="0"/>
        <v>1.7707667390437068E-2</v>
      </c>
    </row>
    <row r="6" spans="1:10" ht="15" x14ac:dyDescent="0.25">
      <c r="A6" s="3" t="s">
        <v>14</v>
      </c>
      <c r="B6" s="3" t="s">
        <v>19</v>
      </c>
      <c r="D6" s="10">
        <v>2434511</v>
      </c>
      <c r="E6" s="10">
        <v>2446687</v>
      </c>
      <c r="F6" s="10">
        <v>2458707</v>
      </c>
      <c r="G6" s="10">
        <v>2470054</v>
      </c>
      <c r="H6" s="10">
        <v>2610000</v>
      </c>
      <c r="I6" cm="1">
        <f t="array" ref="I6">SUM(D6:H6/5)</f>
        <v>2483991.7999999998</v>
      </c>
      <c r="J6" s="12">
        <f t="shared" si="0"/>
        <v>4.1362047984452102E-2</v>
      </c>
    </row>
    <row r="7" spans="1:10" ht="15" x14ac:dyDescent="0.25">
      <c r="A7" s="3" t="s">
        <v>14</v>
      </c>
      <c r="B7" s="3" t="s">
        <v>20</v>
      </c>
      <c r="D7" s="10">
        <v>1778981</v>
      </c>
      <c r="E7" s="10">
        <v>1788981</v>
      </c>
      <c r="F7" s="10">
        <v>1799220</v>
      </c>
      <c r="G7" s="10">
        <v>1808985</v>
      </c>
      <c r="H7" s="10">
        <v>1870000</v>
      </c>
      <c r="I7" cm="1">
        <f t="array" ref="I7">SUM(D7:H7/5)</f>
        <v>1809233.4</v>
      </c>
      <c r="J7" s="12">
        <f t="shared" si="0"/>
        <v>3.0126346917036289E-2</v>
      </c>
    </row>
    <row r="8" spans="1:10" ht="15" x14ac:dyDescent="0.25">
      <c r="A8" s="3" t="s">
        <v>21</v>
      </c>
      <c r="B8" s="3" t="s">
        <v>22</v>
      </c>
      <c r="D8" s="10">
        <v>5409370</v>
      </c>
      <c r="E8" s="10">
        <v>5484150</v>
      </c>
      <c r="F8" s="10">
        <v>5556310</v>
      </c>
      <c r="G8" s="10">
        <v>5627020</v>
      </c>
      <c r="H8" s="10">
        <v>5682300</v>
      </c>
      <c r="I8" cm="1">
        <f t="array" ref="I8">SUM(D8:H8/5)</f>
        <v>5551830</v>
      </c>
      <c r="J8" s="12">
        <f t="shared" si="0"/>
        <v>9.2445981046121298E-2</v>
      </c>
    </row>
    <row r="9" spans="1:10" ht="15" x14ac:dyDescent="0.25">
      <c r="A9" s="3" t="s">
        <v>21</v>
      </c>
      <c r="B9" s="3" t="s">
        <v>23</v>
      </c>
      <c r="D9" s="10">
        <v>2718740</v>
      </c>
      <c r="E9" s="10">
        <v>2747450</v>
      </c>
      <c r="F9" s="10">
        <v>2775310</v>
      </c>
      <c r="G9" s="10">
        <v>2802400</v>
      </c>
      <c r="H9" s="10">
        <v>2828020</v>
      </c>
      <c r="I9" cm="1">
        <f t="array" ref="I9">SUM(D9:H9/5)</f>
        <v>2774384</v>
      </c>
      <c r="J9" s="12">
        <f t="shared" si="0"/>
        <v>4.6197497163757206E-2</v>
      </c>
    </row>
    <row r="10" spans="1:10" ht="15" x14ac:dyDescent="0.25">
      <c r="A10" s="3" t="s">
        <v>21</v>
      </c>
      <c r="B10" s="3" t="s">
        <v>24</v>
      </c>
      <c r="D10" s="10">
        <v>2470560</v>
      </c>
      <c r="E10" s="10">
        <v>2500640</v>
      </c>
      <c r="F10" s="10">
        <v>2529810</v>
      </c>
      <c r="G10" s="10">
        <v>2558140</v>
      </c>
      <c r="H10" s="10">
        <v>2584990</v>
      </c>
      <c r="I10" cm="1">
        <f t="array" ref="I10">SUM(D10:H10/5)</f>
        <v>2528828</v>
      </c>
      <c r="J10" s="12">
        <f t="shared" si="0"/>
        <v>4.210863541515155E-2</v>
      </c>
    </row>
    <row r="11" spans="1:10" ht="15" x14ac:dyDescent="0.25">
      <c r="A11" s="3" t="s">
        <v>21</v>
      </c>
      <c r="B11" s="3" t="s">
        <v>25</v>
      </c>
      <c r="D11" s="10">
        <v>3616540</v>
      </c>
      <c r="E11" s="10">
        <v>3652400</v>
      </c>
      <c r="F11" s="10">
        <v>3687250</v>
      </c>
      <c r="G11" s="10">
        <v>3721110</v>
      </c>
      <c r="H11" s="10">
        <v>3753120</v>
      </c>
      <c r="I11" cm="1">
        <f t="array" ref="I11">SUM(D11:H11/5)</f>
        <v>3686084</v>
      </c>
      <c r="J11" s="12">
        <f t="shared" si="0"/>
        <v>6.1378617788803144E-2</v>
      </c>
    </row>
    <row r="12" spans="1:10" ht="15" x14ac:dyDescent="0.25">
      <c r="A12" s="3" t="s">
        <v>21</v>
      </c>
      <c r="B12" s="3" t="s">
        <v>26</v>
      </c>
      <c r="D12" s="10">
        <v>2577350</v>
      </c>
      <c r="E12" s="10">
        <v>2613530</v>
      </c>
      <c r="F12" s="10">
        <v>2648950</v>
      </c>
      <c r="G12" s="10">
        <v>2683670</v>
      </c>
      <c r="H12" s="10">
        <v>2716950</v>
      </c>
      <c r="I12" cm="1">
        <f t="array" ref="I12">SUM(D12:H12/5)</f>
        <v>2648090</v>
      </c>
      <c r="J12" s="12">
        <f t="shared" si="0"/>
        <v>4.4094519815704614E-2</v>
      </c>
    </row>
    <row r="13" spans="1:10" ht="15" x14ac:dyDescent="0.25">
      <c r="A13" s="3" t="s">
        <v>21</v>
      </c>
      <c r="B13" s="3" t="s">
        <v>27</v>
      </c>
      <c r="D13" s="10">
        <v>1861060</v>
      </c>
      <c r="E13" s="10">
        <v>1876890</v>
      </c>
      <c r="F13" s="10">
        <v>1892220</v>
      </c>
      <c r="G13" s="10">
        <v>1907050</v>
      </c>
      <c r="H13" s="10">
        <v>1920920</v>
      </c>
      <c r="I13" cm="1">
        <f t="array" ref="I13">SUM(D13:H13/5)</f>
        <v>1891628</v>
      </c>
      <c r="J13" s="12">
        <f t="shared" si="0"/>
        <v>3.1498335906234944E-2</v>
      </c>
    </row>
    <row r="14" spans="1:10" ht="15" x14ac:dyDescent="0.25">
      <c r="A14" s="3" t="s">
        <v>21</v>
      </c>
      <c r="B14" s="3" t="s">
        <v>28</v>
      </c>
      <c r="D14" s="10">
        <v>1226050</v>
      </c>
      <c r="E14" s="10">
        <v>1234830</v>
      </c>
      <c r="F14" s="10">
        <v>1243320</v>
      </c>
      <c r="G14" s="10">
        <v>1251540</v>
      </c>
      <c r="H14" s="10">
        <v>1259230</v>
      </c>
      <c r="I14" cm="1">
        <f t="array" ref="I14">SUM(D14:H14/5)</f>
        <v>1242994</v>
      </c>
      <c r="J14" s="12">
        <f t="shared" si="0"/>
        <v>2.0697643797530273E-2</v>
      </c>
    </row>
    <row r="15" spans="1:10" ht="15" x14ac:dyDescent="0.25">
      <c r="A15" s="3" t="s">
        <v>21</v>
      </c>
      <c r="B15" s="3" t="s">
        <v>29</v>
      </c>
      <c r="D15" s="10">
        <v>1162590</v>
      </c>
      <c r="E15" s="10">
        <v>1175950</v>
      </c>
      <c r="F15" s="10">
        <v>1189010</v>
      </c>
      <c r="G15" s="10">
        <v>1201760</v>
      </c>
      <c r="H15" s="10">
        <v>1213930</v>
      </c>
      <c r="I15" cm="1">
        <f t="array" ref="I15">SUM(D15:H15/5)</f>
        <v>1188648</v>
      </c>
      <c r="J15" s="12">
        <f t="shared" si="0"/>
        <v>1.9792704473751897E-2</v>
      </c>
    </row>
    <row r="16" spans="1:10" ht="15" x14ac:dyDescent="0.25">
      <c r="A16" s="3" t="s">
        <v>21</v>
      </c>
      <c r="B16" s="3" t="s">
        <v>30</v>
      </c>
      <c r="D16" s="10">
        <v>2270350</v>
      </c>
      <c r="E16" s="10">
        <v>2301330</v>
      </c>
      <c r="F16" s="10">
        <v>2331360</v>
      </c>
      <c r="G16" s="10">
        <v>2360440</v>
      </c>
      <c r="H16" s="10">
        <v>2387960</v>
      </c>
      <c r="I16" cm="1">
        <f t="array" ref="I16">SUM(D16:H16/5)</f>
        <v>2330288</v>
      </c>
      <c r="J16" s="11">
        <f t="shared" si="0"/>
        <v>3.8802657912797023E-2</v>
      </c>
    </row>
    <row r="17" spans="1:10" ht="15" x14ac:dyDescent="0.25">
      <c r="A17" s="3" t="s">
        <v>21</v>
      </c>
      <c r="B17" s="3" t="s">
        <v>31</v>
      </c>
      <c r="D17" s="10">
        <v>1301570</v>
      </c>
      <c r="E17" s="10">
        <v>1315010</v>
      </c>
      <c r="F17" s="10">
        <v>1328010</v>
      </c>
      <c r="G17" s="10">
        <v>1340620</v>
      </c>
      <c r="H17" s="10">
        <v>1352540</v>
      </c>
      <c r="I17" cm="1">
        <f t="array" ref="I17">SUM(D17:H17/5)</f>
        <v>1327550</v>
      </c>
      <c r="J17" s="12">
        <f t="shared" si="0"/>
        <v>2.2105623215728565E-2</v>
      </c>
    </row>
    <row r="18" spans="1:10" ht="15" x14ac:dyDescent="0.25">
      <c r="A18" s="3" t="s">
        <v>21</v>
      </c>
      <c r="B18" s="3" t="s">
        <v>32</v>
      </c>
      <c r="D18" s="10">
        <v>1149470</v>
      </c>
      <c r="E18" s="10">
        <v>1159260</v>
      </c>
      <c r="F18" s="10">
        <v>1168840</v>
      </c>
      <c r="G18" s="10">
        <v>1178240</v>
      </c>
      <c r="H18" s="10">
        <v>1187130</v>
      </c>
      <c r="I18" cm="1">
        <f t="array" ref="I18">SUM(D18:H18/5)</f>
        <v>1168588</v>
      </c>
      <c r="J18" s="11">
        <f t="shared" si="0"/>
        <v>1.9458676526248966E-2</v>
      </c>
    </row>
    <row r="19" spans="1:10" ht="15" x14ac:dyDescent="0.25">
      <c r="A19" s="3" t="s">
        <v>21</v>
      </c>
      <c r="B19" s="3" t="s">
        <v>33</v>
      </c>
      <c r="D19" s="10">
        <v>1829230</v>
      </c>
      <c r="E19" s="10">
        <v>1851730</v>
      </c>
      <c r="F19" s="10">
        <v>1873400</v>
      </c>
      <c r="G19" s="10">
        <v>1894330</v>
      </c>
      <c r="H19" s="10">
        <v>1914040</v>
      </c>
      <c r="I19" cm="1">
        <f t="array" ref="I19">SUM(D19:H19/5)</f>
        <v>1872546</v>
      </c>
      <c r="J19" s="11">
        <f t="shared" si="0"/>
        <v>3.1180593070031008E-2</v>
      </c>
    </row>
    <row r="20" spans="1:10" ht="15" x14ac:dyDescent="0.25">
      <c r="A20" s="3" t="s">
        <v>21</v>
      </c>
      <c r="B20" s="3" t="s">
        <v>34</v>
      </c>
      <c r="D20" s="10">
        <v>1605250</v>
      </c>
      <c r="E20" s="10">
        <v>1620700</v>
      </c>
      <c r="F20" s="10">
        <v>1635560</v>
      </c>
      <c r="G20" s="10">
        <v>1649820</v>
      </c>
      <c r="H20" s="10">
        <v>1663160</v>
      </c>
      <c r="I20" cm="1">
        <f t="array" ref="I20">SUM(D20:H20/5)</f>
        <v>1634898</v>
      </c>
      <c r="J20" s="12">
        <f t="shared" si="0"/>
        <v>2.7223410933033182E-2</v>
      </c>
    </row>
    <row r="21" spans="1:10" ht="15" x14ac:dyDescent="0.25">
      <c r="A21" s="3" t="s">
        <v>21</v>
      </c>
      <c r="B21" s="3" t="s">
        <v>35</v>
      </c>
      <c r="D21" s="10">
        <v>994330</v>
      </c>
      <c r="E21" s="10">
        <v>1008930</v>
      </c>
      <c r="F21" s="10">
        <v>1023180</v>
      </c>
      <c r="G21" s="10">
        <v>1037069.9999999999</v>
      </c>
      <c r="H21" s="10">
        <v>1050340</v>
      </c>
      <c r="I21" cm="1">
        <f t="array" ref="I21">SUM(D21:H21/5)</f>
        <v>1022770</v>
      </c>
      <c r="J21" s="12">
        <f t="shared" si="0"/>
        <v>1.7030596404166098E-2</v>
      </c>
    </row>
    <row r="22" spans="1:10" ht="15" x14ac:dyDescent="0.25">
      <c r="A22" s="3" t="s">
        <v>21</v>
      </c>
      <c r="B22" s="3" t="s">
        <v>36</v>
      </c>
      <c r="D22" s="10">
        <v>2434090</v>
      </c>
      <c r="E22" s="10">
        <v>2465570</v>
      </c>
      <c r="F22" s="10">
        <v>2496190</v>
      </c>
      <c r="G22" s="10">
        <v>2526000</v>
      </c>
      <c r="H22" s="10">
        <v>2554380</v>
      </c>
      <c r="I22" cm="1">
        <f t="array" ref="I22">SUM(D22:H22/5)</f>
        <v>2495246</v>
      </c>
      <c r="J22" s="12">
        <f t="shared" si="0"/>
        <v>4.1549446654780491E-2</v>
      </c>
    </row>
    <row r="23" spans="1:10" ht="15" x14ac:dyDescent="0.25">
      <c r="A23" s="3" t="s">
        <v>21</v>
      </c>
      <c r="B23" s="3" t="s">
        <v>37</v>
      </c>
      <c r="D23" s="10">
        <v>3101730</v>
      </c>
      <c r="E23" s="10">
        <v>3148740</v>
      </c>
      <c r="F23" s="10">
        <v>3193840</v>
      </c>
      <c r="G23" s="10">
        <v>3237420</v>
      </c>
      <c r="H23" s="10">
        <v>3273870</v>
      </c>
      <c r="I23" cm="1">
        <f t="array" ref="I23">SUM(D23:H23/5)</f>
        <v>3191120</v>
      </c>
      <c r="J23" s="12">
        <f t="shared" si="0"/>
        <v>5.31367529329786E-2</v>
      </c>
    </row>
    <row r="24" spans="1:10" ht="15" x14ac:dyDescent="0.25">
      <c r="A24" s="3" t="s">
        <v>21</v>
      </c>
      <c r="B24" s="3" t="s">
        <v>38</v>
      </c>
      <c r="D24" s="10">
        <v>1782190</v>
      </c>
      <c r="E24" s="10">
        <v>1808420</v>
      </c>
      <c r="F24" s="10">
        <v>1834230</v>
      </c>
      <c r="G24" s="10">
        <v>1859640</v>
      </c>
      <c r="H24" s="10">
        <v>1884190</v>
      </c>
      <c r="I24" cm="1">
        <f t="array" ref="I24">SUM(D24:H24/5)</f>
        <v>1833734</v>
      </c>
      <c r="J24" s="12">
        <f t="shared" si="0"/>
        <v>3.0534317262529326E-2</v>
      </c>
    </row>
    <row r="25" spans="1:10" ht="15" x14ac:dyDescent="0.25">
      <c r="A25" s="3" t="s">
        <v>21</v>
      </c>
      <c r="B25" s="3" t="s">
        <v>39</v>
      </c>
      <c r="D25" s="10">
        <v>422410</v>
      </c>
      <c r="E25" s="10">
        <v>425590</v>
      </c>
      <c r="F25" s="10">
        <v>428600</v>
      </c>
      <c r="G25" s="10">
        <v>431460</v>
      </c>
      <c r="H25" s="10">
        <v>434100</v>
      </c>
      <c r="I25" cm="1">
        <f t="array" ref="I25">SUM(D25:H25/5)</f>
        <v>428432</v>
      </c>
      <c r="J25" s="13">
        <f t="shared" si="0"/>
        <v>7.1340110470875075E-3</v>
      </c>
    </row>
    <row r="26" spans="1:10" ht="15" x14ac:dyDescent="0.25">
      <c r="A26" s="3" t="s">
        <v>21</v>
      </c>
      <c r="B26" s="3" t="s">
        <v>40</v>
      </c>
      <c r="D26" s="10">
        <v>1040569.9999999999</v>
      </c>
      <c r="E26" s="10">
        <v>1050920</v>
      </c>
      <c r="F26" s="10">
        <v>1060940</v>
      </c>
      <c r="G26" s="10">
        <v>1070720</v>
      </c>
      <c r="H26" s="10">
        <v>1078350</v>
      </c>
      <c r="I26" cm="1">
        <f t="array" ref="I26">SUM(D26:H26/5)</f>
        <v>1060300</v>
      </c>
      <c r="J26" s="12">
        <f t="shared" si="0"/>
        <v>1.76555250616828E-2</v>
      </c>
    </row>
    <row r="27" spans="1:10" ht="15" x14ac:dyDescent="0.25">
      <c r="A27" s="3" t="s">
        <v>21</v>
      </c>
      <c r="B27" s="3" t="s">
        <v>41</v>
      </c>
      <c r="D27" s="10">
        <v>344830</v>
      </c>
      <c r="E27" s="10">
        <v>350150</v>
      </c>
      <c r="F27" s="10">
        <v>355420</v>
      </c>
      <c r="G27" s="10">
        <v>360640</v>
      </c>
      <c r="H27" s="10">
        <v>365740</v>
      </c>
      <c r="I27" cm="1">
        <f t="array" ref="I27">SUM(D27:H27/5)</f>
        <v>355356</v>
      </c>
      <c r="J27" s="13">
        <f t="shared" si="0"/>
        <v>5.9171901950573914E-3</v>
      </c>
    </row>
    <row r="28" spans="1:10" ht="15" x14ac:dyDescent="0.25">
      <c r="A28" s="3" t="s">
        <v>21</v>
      </c>
      <c r="B28" s="3" t="s">
        <v>42</v>
      </c>
      <c r="D28" s="10">
        <v>2438350</v>
      </c>
      <c r="E28" s="10">
        <v>2461410</v>
      </c>
      <c r="F28" s="10">
        <v>2484150</v>
      </c>
      <c r="G28" s="10">
        <v>2506600</v>
      </c>
      <c r="H28" s="10">
        <v>2528160</v>
      </c>
      <c r="I28" cm="1">
        <f t="array" ref="I28">SUM(D28:H28/5)</f>
        <v>2483734</v>
      </c>
      <c r="J28" s="12">
        <f t="shared" si="0"/>
        <v>4.1357755242434839E-2</v>
      </c>
    </row>
    <row r="29" spans="1:10" ht="15" x14ac:dyDescent="0.25">
      <c r="A29" s="3" t="s">
        <v>21</v>
      </c>
      <c r="B29" s="3" t="s">
        <v>43</v>
      </c>
      <c r="D29" s="10">
        <v>332580</v>
      </c>
      <c r="E29" s="10">
        <v>335810</v>
      </c>
      <c r="F29" s="10">
        <v>338940</v>
      </c>
      <c r="G29" s="10">
        <v>341980</v>
      </c>
      <c r="H29" s="10">
        <v>344850</v>
      </c>
      <c r="I29" cm="1">
        <f t="array" ref="I29">SUM(D29:H29/5)</f>
        <v>338832</v>
      </c>
      <c r="J29" s="13">
        <f t="shared" si="0"/>
        <v>5.6420417501651474E-3</v>
      </c>
    </row>
    <row r="30" spans="1:10" ht="15" x14ac:dyDescent="0.25">
      <c r="A30" s="3" t="s">
        <v>21</v>
      </c>
      <c r="B30" s="3" t="s">
        <v>44</v>
      </c>
      <c r="D30" s="10">
        <v>2536120</v>
      </c>
      <c r="E30" s="10">
        <v>2568020</v>
      </c>
      <c r="F30" s="10">
        <v>2598070</v>
      </c>
      <c r="G30" s="10">
        <v>2627210</v>
      </c>
      <c r="H30" s="10">
        <v>2644060</v>
      </c>
      <c r="I30" cm="1">
        <f t="array" ref="I30">SUM(D30:H30/5)</f>
        <v>2594696</v>
      </c>
      <c r="J30" s="11">
        <f t="shared" si="0"/>
        <v>4.3205432665706034E-2</v>
      </c>
    </row>
    <row r="31" spans="1:10" ht="15" x14ac:dyDescent="0.25">
      <c r="A31" s="3" t="s">
        <v>21</v>
      </c>
      <c r="B31" s="3" t="s">
        <v>45</v>
      </c>
      <c r="D31" s="10">
        <v>2046830</v>
      </c>
      <c r="E31" s="10">
        <v>2081130</v>
      </c>
      <c r="F31" s="10">
        <v>2113620</v>
      </c>
      <c r="G31" s="10">
        <v>2145400</v>
      </c>
      <c r="H31" s="10">
        <v>2163640</v>
      </c>
      <c r="I31" cm="1">
        <f t="array" ref="I31">SUM(D31:H31/5)</f>
        <v>2110124</v>
      </c>
      <c r="J31" s="12">
        <f t="shared" si="0"/>
        <v>3.5136609606015612E-2</v>
      </c>
    </row>
    <row r="32" spans="1:10" ht="15" x14ac:dyDescent="0.25">
      <c r="A32" s="3" t="s">
        <v>21</v>
      </c>
      <c r="B32" s="3" t="s">
        <v>46</v>
      </c>
      <c r="D32" s="10">
        <v>566170</v>
      </c>
      <c r="E32" s="10">
        <v>574450</v>
      </c>
      <c r="F32" s="10">
        <v>582650</v>
      </c>
      <c r="G32" s="10">
        <v>590780</v>
      </c>
      <c r="H32" s="10">
        <v>598700</v>
      </c>
      <c r="I32" cm="1">
        <f t="array" ref="I32">SUM(D32:H32/5)</f>
        <v>582550</v>
      </c>
      <c r="J32" s="13">
        <f t="shared" si="0"/>
        <v>9.700298146452244E-3</v>
      </c>
    </row>
    <row r="33" spans="1:10" ht="15" x14ac:dyDescent="0.25">
      <c r="A33" s="3" t="s">
        <v>21</v>
      </c>
      <c r="B33" s="3" t="s">
        <v>47</v>
      </c>
      <c r="D33" s="10">
        <v>713670</v>
      </c>
      <c r="E33" s="10">
        <v>723100</v>
      </c>
      <c r="F33" s="10">
        <v>732480</v>
      </c>
      <c r="G33" s="10">
        <v>741760</v>
      </c>
      <c r="H33" s="10">
        <v>750730</v>
      </c>
      <c r="I33" cm="1">
        <f t="array" ref="I33">SUM(D33:H33/5)</f>
        <v>732348</v>
      </c>
      <c r="J33" s="12">
        <f t="shared" si="0"/>
        <v>1.2194651011858224E-2</v>
      </c>
    </row>
    <row r="34" spans="1:10" ht="15" x14ac:dyDescent="0.25">
      <c r="A34" s="3" t="s">
        <v>21</v>
      </c>
      <c r="B34" s="3" t="s">
        <v>48</v>
      </c>
      <c r="D34" s="10">
        <v>200270</v>
      </c>
      <c r="E34" s="10">
        <v>202720</v>
      </c>
      <c r="F34" s="10">
        <v>205140</v>
      </c>
      <c r="G34" s="10">
        <v>207510</v>
      </c>
      <c r="H34" s="10">
        <v>209790</v>
      </c>
      <c r="I34" cm="1">
        <f t="array" ref="I34">SUM(D34:H34/5)</f>
        <v>205086</v>
      </c>
      <c r="J34" s="12">
        <f t="shared" si="0"/>
        <v>3.4149778485336965E-3</v>
      </c>
    </row>
    <row r="35" spans="1:10" ht="15" x14ac:dyDescent="0.25">
      <c r="A35" s="3" t="s">
        <v>49</v>
      </c>
      <c r="B35" s="3" t="s">
        <v>50</v>
      </c>
      <c r="D35" s="10">
        <v>1270.0899999999999</v>
      </c>
      <c r="E35" s="10">
        <v>1284.6400000000001</v>
      </c>
      <c r="F35" s="10">
        <v>1298.8499999999999</v>
      </c>
      <c r="G35" s="10">
        <v>1312.77</v>
      </c>
      <c r="H35" s="10">
        <v>1325.95</v>
      </c>
      <c r="I35" cm="1">
        <f t="array" ref="I35">SUM(D35:H35/5)</f>
        <v>1298.46</v>
      </c>
      <c r="J35" s="12">
        <f t="shared" si="0"/>
        <v>2.1621232737520179E-5</v>
      </c>
    </row>
    <row r="36" spans="1:10" ht="15" x14ac:dyDescent="0.25">
      <c r="A36" s="3" t="s">
        <v>49</v>
      </c>
      <c r="B36" s="3" t="s">
        <v>51</v>
      </c>
      <c r="D36" s="10">
        <v>1383.54</v>
      </c>
      <c r="E36" s="10">
        <v>1400.63</v>
      </c>
      <c r="F36" s="10">
        <v>1417.35</v>
      </c>
      <c r="G36" s="10">
        <v>1433.7</v>
      </c>
      <c r="H36" s="10">
        <v>1449.21</v>
      </c>
      <c r="I36" cm="1">
        <f t="array" ref="I36">SUM(D36:H36/5)</f>
        <v>1416.886</v>
      </c>
      <c r="J36" s="12">
        <f t="shared" si="0"/>
        <v>2.3593196531686781E-5</v>
      </c>
    </row>
    <row r="37" spans="1:10" ht="15" x14ac:dyDescent="0.25">
      <c r="A37" s="3" t="s">
        <v>49</v>
      </c>
      <c r="B37" s="3" t="s">
        <v>52</v>
      </c>
      <c r="D37" s="10">
        <v>3236.7</v>
      </c>
      <c r="E37" s="10">
        <v>3279.71</v>
      </c>
      <c r="F37" s="10">
        <v>3321.65</v>
      </c>
      <c r="G37" s="10">
        <v>3362.61</v>
      </c>
      <c r="H37" s="10">
        <v>3400.49</v>
      </c>
      <c r="I37" cm="1">
        <f t="array" ref="I37">SUM(D37:H37/5)</f>
        <v>3320.232</v>
      </c>
      <c r="J37" s="12">
        <f t="shared" si="0"/>
        <v>5.5286654047534847E-5</v>
      </c>
    </row>
    <row r="38" spans="1:10" ht="15" x14ac:dyDescent="0.25">
      <c r="A38" s="3" t="s">
        <v>49</v>
      </c>
      <c r="B38" s="3" t="s">
        <v>53</v>
      </c>
      <c r="D38" s="10">
        <v>1618.36</v>
      </c>
      <c r="E38" s="10">
        <v>1640.11</v>
      </c>
      <c r="F38" s="10">
        <v>1661.37</v>
      </c>
      <c r="G38" s="10">
        <v>1682.13</v>
      </c>
      <c r="H38" s="10">
        <v>1701.8</v>
      </c>
      <c r="I38" cm="1">
        <f t="array" ref="I38">SUM(D38:H38/5)</f>
        <v>1660.7539999999999</v>
      </c>
      <c r="J38" s="12">
        <f t="shared" si="0"/>
        <v>2.7653950644430777E-5</v>
      </c>
    </row>
    <row r="39" spans="1:10" ht="15" x14ac:dyDescent="0.25">
      <c r="A39" s="3" t="s">
        <v>49</v>
      </c>
      <c r="B39" s="3" t="s">
        <v>54</v>
      </c>
      <c r="D39" s="10">
        <v>1891.4</v>
      </c>
      <c r="E39" s="10">
        <v>1912.03</v>
      </c>
      <c r="F39" s="10">
        <v>1931.64</v>
      </c>
      <c r="G39" s="10">
        <v>1950.58</v>
      </c>
      <c r="H39" s="10">
        <v>1963.97</v>
      </c>
      <c r="I39" cm="1">
        <f t="array" ref="I39">SUM(D39:H39/5)</f>
        <v>1929.924</v>
      </c>
      <c r="J39" s="12">
        <f t="shared" si="0"/>
        <v>3.2136019569124884E-5</v>
      </c>
    </row>
    <row r="40" spans="1:10" ht="15" x14ac:dyDescent="0.25">
      <c r="A40" s="3" t="s">
        <v>49</v>
      </c>
      <c r="B40" s="3" t="s">
        <v>55</v>
      </c>
      <c r="D40" s="10">
        <v>433.76</v>
      </c>
      <c r="E40" s="10">
        <v>439.48</v>
      </c>
      <c r="F40" s="10">
        <v>445.06</v>
      </c>
      <c r="G40" s="10">
        <v>450.51</v>
      </c>
      <c r="H40" s="10">
        <v>455.62</v>
      </c>
      <c r="I40" cm="1">
        <f t="array" ref="I40">SUM(D40:H40/5)</f>
        <v>444.88599999999997</v>
      </c>
      <c r="J40" s="16">
        <f t="shared" si="0"/>
        <v>7.4079938909665312E-6</v>
      </c>
    </row>
    <row r="41" spans="1:10" ht="15" x14ac:dyDescent="0.25">
      <c r="A41" s="3" t="s">
        <v>49</v>
      </c>
      <c r="B41" s="3" t="s">
        <v>56</v>
      </c>
      <c r="D41" s="10">
        <v>689.41</v>
      </c>
      <c r="E41" s="10">
        <v>700.95</v>
      </c>
      <c r="F41" s="10">
        <v>712.41</v>
      </c>
      <c r="G41" s="10">
        <v>723.79</v>
      </c>
      <c r="H41" s="10">
        <v>734.87</v>
      </c>
      <c r="I41" cm="1">
        <f t="array" ref="I41">SUM(D41:H41/5)</f>
        <v>712.28599999999983</v>
      </c>
      <c r="J41" s="15">
        <f t="shared" si="0"/>
        <v>1.1860589761469197E-5</v>
      </c>
    </row>
    <row r="42" spans="1:10" ht="15" x14ac:dyDescent="0.25">
      <c r="A42" s="3" t="s">
        <v>49</v>
      </c>
      <c r="B42" s="3" t="s">
        <v>57</v>
      </c>
      <c r="D42" s="10">
        <v>1351.31</v>
      </c>
      <c r="E42" s="10">
        <v>1365.39</v>
      </c>
      <c r="F42" s="10">
        <v>1378.71</v>
      </c>
      <c r="G42" s="10">
        <v>1391.65</v>
      </c>
      <c r="H42" s="10">
        <v>1399.5</v>
      </c>
      <c r="I42" cm="1">
        <f t="array" ref="I42">SUM(D42:H42/5)</f>
        <v>1377.3120000000004</v>
      </c>
      <c r="J42" s="14">
        <f t="shared" si="0"/>
        <v>2.2934232324584048E-5</v>
      </c>
    </row>
    <row r="43" spans="1:10" x14ac:dyDescent="0.2">
      <c r="B43" s="2">
        <v>41</v>
      </c>
      <c r="J43" s="14">
        <f>SUM(J2:J42)</f>
        <v>0.99999999999999978</v>
      </c>
    </row>
    <row r="51" spans="2:2" x14ac:dyDescent="0.2">
      <c r="B51" s="2">
        <f>81.39-C44</f>
        <v>81.39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3893-4EE9-457B-B4BB-9841DBFE082F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14</vt:i4>
      </vt:variant>
    </vt:vector>
  </HeadingPairs>
  <TitlesOfParts>
    <vt:vector size="14" baseType="lpstr">
      <vt:lpstr>2020</vt:lpstr>
      <vt:lpstr>Bobot 2020</vt:lpstr>
      <vt:lpstr>Quartile</vt:lpstr>
      <vt:lpstr>2021</vt:lpstr>
      <vt:lpstr>2022</vt:lpstr>
      <vt:lpstr>2023</vt:lpstr>
      <vt:lpstr>2024</vt:lpstr>
      <vt:lpstr>PKKP</vt:lpstr>
      <vt:lpstr>PPM</vt:lpstr>
      <vt:lpstr>PDRB_ADHK</vt:lpstr>
      <vt:lpstr>PPDRB_ADHK</vt:lpstr>
      <vt:lpstr>TPT</vt:lpstr>
      <vt:lpstr>Bobot M</vt:lpstr>
      <vt:lpstr>Lembar3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Hanafi</cp:lastModifiedBy>
  <dcterms:modified xsi:type="dcterms:W3CDTF">2026-04-14T04:19:05Z</dcterms:modified>
</cp:coreProperties>
</file>