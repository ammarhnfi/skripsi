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my\data\"/>
    </mc:Choice>
  </mc:AlternateContent>
  <xr:revisionPtr revIDLastSave="0" documentId="13_ncr:1_{85F9D784-0D54-45EC-BDEC-3A3C7A9E0C21}" xr6:coauthVersionLast="47" xr6:coauthVersionMax="47" xr10:uidLastSave="{00000000-0000-0000-0000-000000000000}"/>
  <bookViews>
    <workbookView xWindow="-105" yWindow="0" windowWidth="14610" windowHeight="17385" firstSheet="2" activeTab="3" xr2:uid="{00000000-000D-0000-FFFF-FFFF00000000}"/>
  </bookViews>
  <sheets>
    <sheet name="1. Data Original" sheetId="1" r:id="rId1"/>
    <sheet name="2. Statistika Deskriptif" sheetId="2" r:id="rId2"/>
    <sheet name="3. Standardisasi Z-Score" sheetId="3" r:id="rId3"/>
    <sheet name="4. STATIS Intra-struktur" sheetId="4" r:id="rId4"/>
    <sheet name="5. STATIS Inter-struktu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4" l="1"/>
  <c r="G64" i="4"/>
  <c r="G59" i="4"/>
  <c r="B69" i="4" a="1"/>
  <c r="B69" i="4"/>
  <c r="B64" i="4" a="1"/>
  <c r="B64" i="4" s="1"/>
  <c r="B59" i="4" a="1"/>
  <c r="B59" i="4" s="1"/>
  <c r="B52" i="4" a="1"/>
  <c r="B52" i="4" s="1"/>
  <c r="G52" i="4" s="1"/>
  <c r="B46" i="4" a="1"/>
  <c r="B46" i="4" s="1"/>
  <c r="G46" i="4" s="1"/>
  <c r="I56" i="3"/>
  <c r="H56" i="3"/>
  <c r="G56" i="3"/>
  <c r="I55" i="3"/>
  <c r="H55" i="3"/>
  <c r="G55" i="3"/>
  <c r="I54" i="3"/>
  <c r="H54" i="3"/>
  <c r="G54" i="3"/>
  <c r="I53" i="3"/>
  <c r="H53" i="3"/>
  <c r="G53" i="3"/>
  <c r="G47" i="3"/>
  <c r="I50" i="3"/>
  <c r="H50" i="3"/>
  <c r="G50" i="3"/>
  <c r="I49" i="3"/>
  <c r="H49" i="3"/>
  <c r="G49" i="3"/>
  <c r="I48" i="3"/>
  <c r="H48" i="3"/>
  <c r="G48" i="3"/>
  <c r="I47" i="3"/>
  <c r="H47" i="3"/>
  <c r="B40" i="4" a="1"/>
  <c r="B40" i="4" s="1"/>
  <c r="G40" i="4" s="1"/>
  <c r="A68" i="4"/>
  <c r="A67" i="4"/>
  <c r="A63" i="4"/>
  <c r="A62" i="4"/>
  <c r="A58" i="4"/>
  <c r="A57" i="4"/>
  <c r="A56" i="4"/>
  <c r="A51" i="4"/>
  <c r="A50" i="4"/>
  <c r="A45" i="4"/>
  <c r="A44" i="4"/>
  <c r="A39" i="4"/>
  <c r="A38" i="4"/>
  <c r="A37" i="4"/>
  <c r="I71" i="4"/>
  <c r="H71" i="4"/>
  <c r="G71" i="4"/>
  <c r="I70" i="4"/>
  <c r="H70" i="4"/>
  <c r="G70" i="4"/>
  <c r="I69" i="4"/>
  <c r="H69" i="4"/>
  <c r="I66" i="4"/>
  <c r="H66" i="4"/>
  <c r="G66" i="4"/>
  <c r="I65" i="4"/>
  <c r="G65" i="4"/>
  <c r="L66" i="4"/>
  <c r="I61" i="4"/>
  <c r="H61" i="4"/>
  <c r="G61" i="4"/>
  <c r="I60" i="4"/>
  <c r="H60" i="4"/>
  <c r="G60" i="4"/>
  <c r="I59" i="4"/>
  <c r="H59" i="4"/>
  <c r="I44" i="3"/>
  <c r="H44" i="3"/>
  <c r="G44" i="3"/>
  <c r="I43" i="3"/>
  <c r="H43" i="3"/>
  <c r="G43" i="3"/>
  <c r="I42" i="3"/>
  <c r="H42" i="3"/>
  <c r="G42" i="3"/>
  <c r="I41" i="3"/>
  <c r="H41" i="3"/>
  <c r="G41" i="3"/>
  <c r="E24" i="1"/>
  <c r="E23" i="1"/>
  <c r="E22" i="1"/>
  <c r="E21" i="1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2" i="3"/>
  <c r="A51" i="3"/>
  <c r="A46" i="3"/>
  <c r="A45" i="3"/>
  <c r="A44" i="3"/>
  <c r="A43" i="3"/>
  <c r="A42" i="3"/>
  <c r="A40" i="3"/>
  <c r="A39" i="3"/>
  <c r="A19" i="3"/>
  <c r="A56" i="3" s="1"/>
  <c r="A18" i="3"/>
  <c r="A55" i="3" s="1"/>
  <c r="A17" i="3"/>
  <c r="A54" i="3" s="1"/>
  <c r="A16" i="3"/>
  <c r="A53" i="3" s="1"/>
  <c r="A13" i="3"/>
  <c r="A50" i="3" s="1"/>
  <c r="A12" i="3"/>
  <c r="A49" i="3" s="1"/>
  <c r="A11" i="3"/>
  <c r="A48" i="3" s="1"/>
  <c r="A10" i="3"/>
  <c r="A10" i="4" s="1"/>
  <c r="A46" i="4" s="1"/>
  <c r="C4" i="3"/>
  <c r="C13" i="3"/>
  <c r="B13" i="3"/>
  <c r="D12" i="3"/>
  <c r="C5" i="3"/>
  <c r="H33" i="2"/>
  <c r="D33" i="2"/>
  <c r="H32" i="2"/>
  <c r="G32" i="2"/>
  <c r="G31" i="2"/>
  <c r="F31" i="2"/>
  <c r="E31" i="2"/>
  <c r="D31" i="2"/>
  <c r="E28" i="2"/>
  <c r="G27" i="2"/>
  <c r="F27" i="2"/>
  <c r="D26" i="2"/>
  <c r="C4" i="2"/>
  <c r="B4" i="3" s="1"/>
  <c r="C24" i="1"/>
  <c r="C23" i="1"/>
  <c r="C22" i="1"/>
  <c r="C21" i="1"/>
  <c r="H4" i="2"/>
  <c r="H21" i="2" s="1"/>
  <c r="C11" i="2"/>
  <c r="C10" i="2"/>
  <c r="C10" i="3" s="1"/>
  <c r="C9" i="2"/>
  <c r="B11" i="3" s="1"/>
  <c r="C6" i="2"/>
  <c r="C5" i="2"/>
  <c r="C16" i="2"/>
  <c r="D17" i="3" s="1"/>
  <c r="C15" i="2"/>
  <c r="C14" i="2"/>
  <c r="B17" i="3" s="1"/>
  <c r="G16" i="2"/>
  <c r="G33" i="2" s="1"/>
  <c r="F16" i="2"/>
  <c r="F33" i="2" s="1"/>
  <c r="E16" i="2"/>
  <c r="E33" i="2" s="1"/>
  <c r="F15" i="2"/>
  <c r="F32" i="2" s="1"/>
  <c r="G15" i="2"/>
  <c r="E15" i="2"/>
  <c r="E32" i="2" s="1"/>
  <c r="G14" i="2"/>
  <c r="F14" i="2"/>
  <c r="E14" i="2"/>
  <c r="G11" i="2"/>
  <c r="G28" i="2" s="1"/>
  <c r="F11" i="2"/>
  <c r="F28" i="2" s="1"/>
  <c r="E11" i="2"/>
  <c r="G10" i="2"/>
  <c r="F10" i="2"/>
  <c r="E10" i="2"/>
  <c r="E27" i="2" s="1"/>
  <c r="G9" i="2"/>
  <c r="G26" i="2" s="1"/>
  <c r="F9" i="2"/>
  <c r="F26" i="2" s="1"/>
  <c r="E9" i="2"/>
  <c r="E26" i="2" s="1"/>
  <c r="G4" i="2"/>
  <c r="G21" i="2" s="1"/>
  <c r="G5" i="2"/>
  <c r="G22" i="2" s="1"/>
  <c r="F5" i="2"/>
  <c r="F22" i="2" s="1"/>
  <c r="G6" i="2"/>
  <c r="G23" i="2" s="1"/>
  <c r="F6" i="2"/>
  <c r="F23" i="2" s="1"/>
  <c r="E6" i="2"/>
  <c r="E23" i="2" s="1"/>
  <c r="E5" i="2"/>
  <c r="E22" i="2" s="1"/>
  <c r="E4" i="2"/>
  <c r="E21" i="2" s="1"/>
  <c r="F4" i="2"/>
  <c r="F21" i="2" s="1"/>
  <c r="D4" i="2"/>
  <c r="D21" i="2" s="1"/>
  <c r="O8" i="5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N8" i="5"/>
  <c r="N7" i="5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N6" i="5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D35" i="4"/>
  <c r="I35" i="4" s="1"/>
  <c r="C35" i="4"/>
  <c r="H35" i="4" s="1"/>
  <c r="B35" i="4"/>
  <c r="G35" i="4" s="1"/>
  <c r="A35" i="4"/>
  <c r="A71" i="4" s="1"/>
  <c r="D34" i="4"/>
  <c r="I34" i="4" s="1"/>
  <c r="C34" i="4"/>
  <c r="H34" i="4" s="1"/>
  <c r="B34" i="4"/>
  <c r="G34" i="4" s="1"/>
  <c r="A34" i="4"/>
  <c r="A70" i="4" s="1"/>
  <c r="D33" i="4"/>
  <c r="I33" i="4" s="1"/>
  <c r="C33" i="4"/>
  <c r="H33" i="4" s="1"/>
  <c r="B33" i="4"/>
  <c r="A33" i="4"/>
  <c r="A69" i="4" s="1"/>
  <c r="D32" i="4"/>
  <c r="D68" i="4" s="1"/>
  <c r="C32" i="4"/>
  <c r="C68" i="4" s="1"/>
  <c r="B32" i="4"/>
  <c r="B68" i="4" s="1"/>
  <c r="D30" i="4"/>
  <c r="I30" i="4" s="1"/>
  <c r="C30" i="4"/>
  <c r="H30" i="4" s="1"/>
  <c r="B30" i="4"/>
  <c r="G30" i="4" s="1"/>
  <c r="A30" i="4"/>
  <c r="A66" i="4" s="1"/>
  <c r="D29" i="4"/>
  <c r="I29" i="4" s="1"/>
  <c r="C29" i="4"/>
  <c r="H29" i="4" s="1"/>
  <c r="B29" i="4"/>
  <c r="G29" i="4" s="1"/>
  <c r="A29" i="4"/>
  <c r="A65" i="4" s="1"/>
  <c r="D28" i="4"/>
  <c r="I28" i="4" s="1"/>
  <c r="C28" i="4"/>
  <c r="H28" i="4" s="1"/>
  <c r="B28" i="4"/>
  <c r="A28" i="4"/>
  <c r="A64" i="4" s="1"/>
  <c r="D27" i="4"/>
  <c r="D63" i="4" s="1"/>
  <c r="C27" i="4"/>
  <c r="C63" i="4" s="1"/>
  <c r="B27" i="4"/>
  <c r="B63" i="4" s="1"/>
  <c r="D25" i="4"/>
  <c r="I25" i="4" s="1"/>
  <c r="C25" i="4"/>
  <c r="H25" i="4" s="1"/>
  <c r="B25" i="4"/>
  <c r="G25" i="4" s="1"/>
  <c r="A25" i="4"/>
  <c r="A61" i="4" s="1"/>
  <c r="D24" i="4"/>
  <c r="I24" i="4" s="1"/>
  <c r="C24" i="4"/>
  <c r="H24" i="4" s="1"/>
  <c r="B24" i="4"/>
  <c r="G24" i="4" s="1"/>
  <c r="A24" i="4"/>
  <c r="A60" i="4" s="1"/>
  <c r="D23" i="4"/>
  <c r="I23" i="4" s="1"/>
  <c r="C23" i="4"/>
  <c r="H23" i="4" s="1"/>
  <c r="B23" i="4"/>
  <c r="A23" i="4"/>
  <c r="A59" i="4" s="1"/>
  <c r="D22" i="4"/>
  <c r="D58" i="4" s="1"/>
  <c r="C22" i="4"/>
  <c r="C58" i="4" s="1"/>
  <c r="B22" i="4"/>
  <c r="B58" i="4" s="1"/>
  <c r="E15" i="4"/>
  <c r="E51" i="4" s="1"/>
  <c r="D15" i="4"/>
  <c r="D51" i="4" s="1"/>
  <c r="C15" i="4"/>
  <c r="C51" i="4" s="1"/>
  <c r="A16" i="4"/>
  <c r="A52" i="4" s="1"/>
  <c r="A13" i="4"/>
  <c r="A49" i="4" s="1"/>
  <c r="A12" i="4"/>
  <c r="A48" i="4" s="1"/>
  <c r="A11" i="4"/>
  <c r="A47" i="4" s="1"/>
  <c r="H16" i="2"/>
  <c r="D16" i="2"/>
  <c r="B16" i="2"/>
  <c r="M15" i="1" s="1"/>
  <c r="H15" i="2"/>
  <c r="D15" i="2"/>
  <c r="D32" i="2" s="1"/>
  <c r="B15" i="2"/>
  <c r="L15" i="1" s="1"/>
  <c r="H14" i="2"/>
  <c r="H31" i="2" s="1"/>
  <c r="D14" i="2"/>
  <c r="B14" i="2"/>
  <c r="H15" i="1" s="1"/>
  <c r="H11" i="2"/>
  <c r="H28" i="2" s="1"/>
  <c r="D11" i="2"/>
  <c r="D28" i="2" s="1"/>
  <c r="B11" i="2"/>
  <c r="J9" i="1" s="1"/>
  <c r="H10" i="2"/>
  <c r="H27" i="2" s="1"/>
  <c r="D10" i="2"/>
  <c r="D27" i="2" s="1"/>
  <c r="B10" i="2"/>
  <c r="I9" i="1" s="1"/>
  <c r="H9" i="2"/>
  <c r="H26" i="2" s="1"/>
  <c r="D9" i="2"/>
  <c r="B9" i="2"/>
  <c r="K12" i="1" s="1"/>
  <c r="A7" i="3"/>
  <c r="A7" i="4" s="1"/>
  <c r="A43" i="4" s="1"/>
  <c r="A6" i="3"/>
  <c r="D3" i="4" s="1"/>
  <c r="D39" i="4" s="1"/>
  <c r="A5" i="3"/>
  <c r="C3" i="4" s="1"/>
  <c r="C39" i="4" s="1"/>
  <c r="A4" i="3"/>
  <c r="A4" i="4" s="1"/>
  <c r="A40" i="4" s="1"/>
  <c r="H6" i="2"/>
  <c r="H23" i="2" s="1"/>
  <c r="H5" i="2"/>
  <c r="H22" i="2" s="1"/>
  <c r="D6" i="2"/>
  <c r="D23" i="2" s="1"/>
  <c r="D5" i="2"/>
  <c r="D22" i="2" s="1"/>
  <c r="B5" i="2"/>
  <c r="I6" i="1" s="1"/>
  <c r="B4" i="2"/>
  <c r="H5" i="1" s="1"/>
  <c r="B6" i="2"/>
  <c r="M5" i="1" s="1"/>
  <c r="H64" i="4" l="1"/>
  <c r="I64" i="4"/>
  <c r="J49" i="4"/>
  <c r="G49" i="4"/>
  <c r="H65" i="4"/>
  <c r="G41" i="4"/>
  <c r="J40" i="4"/>
  <c r="G55" i="4"/>
  <c r="I49" i="4"/>
  <c r="H55" i="4"/>
  <c r="H49" i="4"/>
  <c r="J55" i="4"/>
  <c r="J48" i="4"/>
  <c r="G48" i="4"/>
  <c r="J47" i="4"/>
  <c r="I52" i="4"/>
  <c r="G47" i="4"/>
  <c r="H52" i="4"/>
  <c r="J52" i="4"/>
  <c r="J46" i="4"/>
  <c r="H47" i="4"/>
  <c r="I55" i="4"/>
  <c r="I47" i="4"/>
  <c r="G53" i="4"/>
  <c r="H46" i="4"/>
  <c r="H53" i="4"/>
  <c r="J54" i="4"/>
  <c r="J53" i="4"/>
  <c r="H54" i="4"/>
  <c r="I54" i="4"/>
  <c r="I53" i="4"/>
  <c r="I46" i="4"/>
  <c r="G54" i="4"/>
  <c r="H41" i="4"/>
  <c r="J43" i="4"/>
  <c r="H43" i="4"/>
  <c r="G43" i="4"/>
  <c r="J42" i="4"/>
  <c r="I48" i="4"/>
  <c r="I42" i="4"/>
  <c r="I40" i="4"/>
  <c r="H48" i="4"/>
  <c r="H42" i="4"/>
  <c r="H40" i="4"/>
  <c r="I43" i="4"/>
  <c r="I41" i="4"/>
  <c r="G42" i="4"/>
  <c r="J41" i="4"/>
  <c r="L71" i="4"/>
  <c r="L61" i="4"/>
  <c r="D5" i="3"/>
  <c r="D6" i="3"/>
  <c r="B16" i="3"/>
  <c r="B7" i="3"/>
  <c r="C16" i="3"/>
  <c r="A47" i="3"/>
  <c r="C7" i="3"/>
  <c r="D16" i="3"/>
  <c r="D13" i="3"/>
  <c r="B10" i="3"/>
  <c r="B18" i="3"/>
  <c r="C18" i="3"/>
  <c r="C11" i="3"/>
  <c r="D18" i="3"/>
  <c r="C6" i="3"/>
  <c r="D7" i="3"/>
  <c r="C17" i="3"/>
  <c r="D11" i="3"/>
  <c r="B19" i="3"/>
  <c r="B6" i="3"/>
  <c r="D10" i="3"/>
  <c r="D4" i="3"/>
  <c r="B12" i="3"/>
  <c r="C19" i="3"/>
  <c r="B5" i="3"/>
  <c r="C12" i="3"/>
  <c r="D19" i="3"/>
  <c r="A41" i="3"/>
  <c r="H17" i="1"/>
  <c r="J17" i="1"/>
  <c r="J18" i="1"/>
  <c r="I5" i="1"/>
  <c r="M16" i="1"/>
  <c r="I3" i="1"/>
  <c r="I5" i="2" s="1"/>
  <c r="I4" i="1"/>
  <c r="H6" i="1"/>
  <c r="H18" i="1"/>
  <c r="L16" i="1"/>
  <c r="I15" i="1"/>
  <c r="C25" i="1"/>
  <c r="D21" i="1" s="1"/>
  <c r="I17" i="1"/>
  <c r="I18" i="1"/>
  <c r="J15" i="1"/>
  <c r="D23" i="1"/>
  <c r="D24" i="1"/>
  <c r="H10" i="1"/>
  <c r="J16" i="1"/>
  <c r="J11" i="1"/>
  <c r="L17" i="1"/>
  <c r="J12" i="1"/>
  <c r="L18" i="1"/>
  <c r="H9" i="1"/>
  <c r="H11" i="1"/>
  <c r="K10" i="1"/>
  <c r="M17" i="1"/>
  <c r="H12" i="1"/>
  <c r="J10" i="1"/>
  <c r="K9" i="1"/>
  <c r="K11" i="1"/>
  <c r="M18" i="1"/>
  <c r="H16" i="1"/>
  <c r="I16" i="1"/>
  <c r="L10" i="1"/>
  <c r="M9" i="1"/>
  <c r="I10" i="1"/>
  <c r="M10" i="1"/>
  <c r="K16" i="1"/>
  <c r="L11" i="1"/>
  <c r="I11" i="1"/>
  <c r="M11" i="1"/>
  <c r="K17" i="1"/>
  <c r="K15" i="1"/>
  <c r="I12" i="1"/>
  <c r="M12" i="1"/>
  <c r="K18" i="1"/>
  <c r="L9" i="1"/>
  <c r="L12" i="1"/>
  <c r="L5" i="1"/>
  <c r="K4" i="1"/>
  <c r="K3" i="1"/>
  <c r="L3" i="1"/>
  <c r="L4" i="1"/>
  <c r="L6" i="1"/>
  <c r="K5" i="1"/>
  <c r="K10" i="2"/>
  <c r="H4" i="1"/>
  <c r="J6" i="1"/>
  <c r="H3" i="1"/>
  <c r="K6" i="1"/>
  <c r="M4" i="1"/>
  <c r="K6" i="2"/>
  <c r="M3" i="1"/>
  <c r="K16" i="2"/>
  <c r="J4" i="1"/>
  <c r="J3" i="1"/>
  <c r="M6" i="1"/>
  <c r="J5" i="1"/>
  <c r="K9" i="2"/>
  <c r="K14" i="2"/>
  <c r="K15" i="2"/>
  <c r="K11" i="2"/>
  <c r="K4" i="2"/>
  <c r="K5" i="2"/>
  <c r="C17" i="5"/>
  <c r="G23" i="4"/>
  <c r="L25" i="4" s="1"/>
  <c r="E9" i="4"/>
  <c r="E45" i="4" s="1"/>
  <c r="C9" i="4"/>
  <c r="C45" i="4" s="1"/>
  <c r="D20" i="5"/>
  <c r="C20" i="5"/>
  <c r="B9" i="4"/>
  <c r="B45" i="4" s="1"/>
  <c r="C21" i="5"/>
  <c r="D16" i="5"/>
  <c r="B19" i="5"/>
  <c r="D17" i="5"/>
  <c r="B20" i="5"/>
  <c r="D18" i="5"/>
  <c r="C23" i="5"/>
  <c r="B18" i="5"/>
  <c r="B22" i="5"/>
  <c r="B15" i="5"/>
  <c r="B17" i="5"/>
  <c r="D19" i="5"/>
  <c r="G33" i="4"/>
  <c r="L35" i="4" s="1"/>
  <c r="C18" i="5"/>
  <c r="B16" i="5"/>
  <c r="D15" i="5"/>
  <c r="B23" i="5"/>
  <c r="C15" i="5"/>
  <c r="C16" i="5"/>
  <c r="D23" i="5"/>
  <c r="G28" i="4"/>
  <c r="L30" i="4" s="1"/>
  <c r="C19" i="5"/>
  <c r="C22" i="5"/>
  <c r="B21" i="5"/>
  <c r="D21" i="5"/>
  <c r="D22" i="5"/>
  <c r="B15" i="4"/>
  <c r="B51" i="4" s="1"/>
  <c r="D9" i="4"/>
  <c r="D45" i="4" s="1"/>
  <c r="A19" i="4"/>
  <c r="A55" i="4" s="1"/>
  <c r="A18" i="4"/>
  <c r="A54" i="4" s="1"/>
  <c r="A17" i="4"/>
  <c r="A53" i="4" s="1"/>
  <c r="A5" i="4"/>
  <c r="A41" i="4" s="1"/>
  <c r="A6" i="4"/>
  <c r="A42" i="4" s="1"/>
  <c r="B3" i="4"/>
  <c r="B39" i="4" s="1"/>
  <c r="E3" i="4"/>
  <c r="E39" i="4" s="1"/>
  <c r="L43" i="4" l="1"/>
  <c r="L55" i="4"/>
  <c r="L49" i="4"/>
  <c r="I16" i="2"/>
  <c r="E23" i="5"/>
  <c r="E15" i="5"/>
  <c r="F15" i="5" s="1"/>
  <c r="H15" i="5" s="1"/>
  <c r="E21" i="5"/>
  <c r="F21" i="5" s="1"/>
  <c r="H17" i="5" s="1"/>
  <c r="E19" i="5"/>
  <c r="F19" i="5" s="1"/>
  <c r="I16" i="5" s="1"/>
  <c r="F23" i="5"/>
  <c r="J17" i="5" s="1"/>
  <c r="E20" i="5"/>
  <c r="F20" i="5" s="1"/>
  <c r="J16" i="5" s="1"/>
  <c r="E17" i="5"/>
  <c r="F17" i="5" s="1"/>
  <c r="J15" i="5" s="1"/>
  <c r="D32" i="1"/>
  <c r="C32" i="1"/>
  <c r="F32" i="1"/>
  <c r="G44" i="1"/>
  <c r="F44" i="1"/>
  <c r="E44" i="1"/>
  <c r="D44" i="1"/>
  <c r="C38" i="1"/>
  <c r="G32" i="1"/>
  <c r="C44" i="1"/>
  <c r="G38" i="1"/>
  <c r="F38" i="1"/>
  <c r="E38" i="1"/>
  <c r="D38" i="1"/>
  <c r="E32" i="1"/>
  <c r="E37" i="1"/>
  <c r="D37" i="1"/>
  <c r="C37" i="1"/>
  <c r="G31" i="1"/>
  <c r="F31" i="1"/>
  <c r="E31" i="1"/>
  <c r="D31" i="1"/>
  <c r="C31" i="1"/>
  <c r="C43" i="1"/>
  <c r="D43" i="1"/>
  <c r="G43" i="1"/>
  <c r="F43" i="1"/>
  <c r="G37" i="1"/>
  <c r="E43" i="1"/>
  <c r="F37" i="1"/>
  <c r="C29" i="1"/>
  <c r="G41" i="1"/>
  <c r="F41" i="1"/>
  <c r="E41" i="1"/>
  <c r="D41" i="1"/>
  <c r="C41" i="1"/>
  <c r="G35" i="1"/>
  <c r="F29" i="1"/>
  <c r="F35" i="1"/>
  <c r="E29" i="1"/>
  <c r="E35" i="1"/>
  <c r="D35" i="1"/>
  <c r="C35" i="1"/>
  <c r="G29" i="1"/>
  <c r="D29" i="1"/>
  <c r="J15" i="2"/>
  <c r="I14" i="2"/>
  <c r="D22" i="1"/>
  <c r="I15" i="2"/>
  <c r="J16" i="2"/>
  <c r="J10" i="2"/>
  <c r="I11" i="2"/>
  <c r="I10" i="2"/>
  <c r="J9" i="2"/>
  <c r="J14" i="2"/>
  <c r="J11" i="2"/>
  <c r="J5" i="2"/>
  <c r="I9" i="2"/>
  <c r="I4" i="2"/>
  <c r="J4" i="2"/>
  <c r="J6" i="2"/>
  <c r="I6" i="2"/>
  <c r="B11" i="4"/>
  <c r="G11" i="4" s="1"/>
  <c r="D19" i="4"/>
  <c r="I19" i="4" s="1"/>
  <c r="E16" i="5"/>
  <c r="F16" i="5" s="1"/>
  <c r="I15" i="5" s="1"/>
  <c r="C11" i="4"/>
  <c r="H11" i="4" s="1"/>
  <c r="E18" i="5"/>
  <c r="F18" i="5" s="1"/>
  <c r="H16" i="5" s="1"/>
  <c r="D17" i="4"/>
  <c r="I17" i="4" s="1"/>
  <c r="D11" i="4"/>
  <c r="I11" i="4" s="1"/>
  <c r="D13" i="4"/>
  <c r="I13" i="4" s="1"/>
  <c r="E22" i="5"/>
  <c r="F22" i="5" s="1"/>
  <c r="I17" i="5" s="1"/>
  <c r="C12" i="4"/>
  <c r="H12" i="4" s="1"/>
  <c r="E11" i="4"/>
  <c r="J11" i="4" s="1"/>
  <c r="C16" i="4"/>
  <c r="H16" i="4" s="1"/>
  <c r="C18" i="4"/>
  <c r="H18" i="4" s="1"/>
  <c r="E17" i="4"/>
  <c r="J17" i="4" s="1"/>
  <c r="B10" i="4"/>
  <c r="G10" i="4" s="1"/>
  <c r="D18" i="4"/>
  <c r="I18" i="4" s="1"/>
  <c r="C10" i="4"/>
  <c r="H10" i="4" s="1"/>
  <c r="B17" i="4"/>
  <c r="G17" i="4" s="1"/>
  <c r="E16" i="4"/>
  <c r="J16" i="4" s="1"/>
  <c r="E19" i="4"/>
  <c r="J19" i="4" s="1"/>
  <c r="B19" i="4"/>
  <c r="G19" i="4" s="1"/>
  <c r="B18" i="4"/>
  <c r="G18" i="4" s="1"/>
  <c r="C17" i="4"/>
  <c r="H17" i="4" s="1"/>
  <c r="C19" i="4"/>
  <c r="H19" i="4" s="1"/>
  <c r="D16" i="4"/>
  <c r="I16" i="4" s="1"/>
  <c r="E10" i="4"/>
  <c r="J10" i="4" s="1"/>
  <c r="E13" i="4"/>
  <c r="J13" i="4" s="1"/>
  <c r="B13" i="4"/>
  <c r="G13" i="4" s="1"/>
  <c r="D12" i="4"/>
  <c r="I12" i="4" s="1"/>
  <c r="E12" i="4"/>
  <c r="J12" i="4" s="1"/>
  <c r="E18" i="4"/>
  <c r="J18" i="4" s="1"/>
  <c r="C13" i="4"/>
  <c r="H13" i="4" s="1"/>
  <c r="B12" i="4"/>
  <c r="G12" i="4" s="1"/>
  <c r="D10" i="4"/>
  <c r="I10" i="4" s="1"/>
  <c r="B16" i="4"/>
  <c r="E4" i="4"/>
  <c r="J4" i="4" s="1"/>
  <c r="B4" i="4"/>
  <c r="D4" i="4"/>
  <c r="I4" i="4" s="1"/>
  <c r="C4" i="4"/>
  <c r="H4" i="4" s="1"/>
  <c r="C5" i="4"/>
  <c r="H5" i="4" s="1"/>
  <c r="E5" i="4"/>
  <c r="J5" i="4" s="1"/>
  <c r="B5" i="4"/>
  <c r="G5" i="4" s="1"/>
  <c r="D5" i="4"/>
  <c r="I5" i="4" s="1"/>
  <c r="C6" i="4"/>
  <c r="H6" i="4" s="1"/>
  <c r="B6" i="4"/>
  <c r="G6" i="4" s="1"/>
  <c r="D6" i="4"/>
  <c r="I6" i="4" s="1"/>
  <c r="E6" i="4"/>
  <c r="J6" i="4" s="1"/>
  <c r="B7" i="4"/>
  <c r="G7" i="4" s="1"/>
  <c r="C7" i="4"/>
  <c r="H7" i="4" s="1"/>
  <c r="E7" i="4"/>
  <c r="J7" i="4" s="1"/>
  <c r="D7" i="4"/>
  <c r="I7" i="4" s="1"/>
  <c r="F42" i="1" l="1"/>
  <c r="E42" i="1"/>
  <c r="D42" i="1"/>
  <c r="C42" i="1"/>
  <c r="G36" i="1"/>
  <c r="F36" i="1"/>
  <c r="E36" i="1"/>
  <c r="D36" i="1"/>
  <c r="C36" i="1"/>
  <c r="G30" i="1"/>
  <c r="F30" i="1"/>
  <c r="E30" i="1"/>
  <c r="D30" i="1"/>
  <c r="C30" i="1"/>
  <c r="B21" i="2" s="1"/>
  <c r="G42" i="1"/>
  <c r="B22" i="2"/>
  <c r="B27" i="2"/>
  <c r="B26" i="2"/>
  <c r="B23" i="2"/>
  <c r="B28" i="2"/>
  <c r="B31" i="2"/>
  <c r="B33" i="2"/>
  <c r="B32" i="2"/>
  <c r="B7" i="5"/>
  <c r="C8" i="5"/>
  <c r="C6" i="5"/>
  <c r="C7" i="5"/>
  <c r="D7" i="5"/>
  <c r="B8" i="5"/>
  <c r="D4" i="5"/>
  <c r="B6" i="5"/>
  <c r="D10" i="5"/>
  <c r="L13" i="4"/>
  <c r="D9" i="5"/>
  <c r="D6" i="5"/>
  <c r="B3" i="5"/>
  <c r="D3" i="5"/>
  <c r="B4" i="5"/>
  <c r="C4" i="5"/>
  <c r="C3" i="5"/>
  <c r="B5" i="5"/>
  <c r="C5" i="5"/>
  <c r="G16" i="4"/>
  <c r="L19" i="4" s="1"/>
  <c r="D8" i="5"/>
  <c r="C11" i="5"/>
  <c r="C10" i="5"/>
  <c r="C9" i="5"/>
  <c r="B9" i="5"/>
  <c r="D5" i="5"/>
  <c r="B10" i="5"/>
  <c r="B11" i="5"/>
  <c r="D11" i="5"/>
  <c r="G4" i="4"/>
  <c r="L7" i="4" s="1"/>
  <c r="M44" i="1" l="1"/>
  <c r="J42" i="1"/>
  <c r="M41" i="1"/>
  <c r="J41" i="1"/>
  <c r="M42" i="1"/>
  <c r="P42" i="1"/>
  <c r="P44" i="1"/>
  <c r="P41" i="1"/>
  <c r="M43" i="1"/>
  <c r="J44" i="1"/>
  <c r="P43" i="1"/>
  <c r="J43" i="1"/>
  <c r="K43" i="1"/>
  <c r="N44" i="1"/>
  <c r="K44" i="1"/>
  <c r="K42" i="1"/>
  <c r="H42" i="1"/>
  <c r="N42" i="1"/>
  <c r="H43" i="1"/>
  <c r="N43" i="1"/>
  <c r="H44" i="1"/>
  <c r="K41" i="1"/>
  <c r="N41" i="1"/>
  <c r="H41" i="1"/>
  <c r="C31" i="2" s="1"/>
  <c r="B56" i="3" s="1"/>
  <c r="M35" i="1"/>
  <c r="J35" i="1"/>
  <c r="M38" i="1"/>
  <c r="P38" i="1"/>
  <c r="M36" i="1"/>
  <c r="J38" i="1"/>
  <c r="P35" i="1"/>
  <c r="M37" i="1"/>
  <c r="J36" i="1"/>
  <c r="P37" i="1"/>
  <c r="P36" i="1"/>
  <c r="J37" i="1"/>
  <c r="I29" i="1"/>
  <c r="O30" i="1"/>
  <c r="O31" i="1"/>
  <c r="L31" i="1"/>
  <c r="L32" i="1"/>
  <c r="O32" i="1"/>
  <c r="O29" i="1"/>
  <c r="L29" i="1"/>
  <c r="L30" i="1"/>
  <c r="K31" i="1"/>
  <c r="N30" i="1"/>
  <c r="N32" i="1"/>
  <c r="K29" i="1"/>
  <c r="K30" i="1"/>
  <c r="K32" i="1"/>
  <c r="N29" i="1"/>
  <c r="H29" i="1"/>
  <c r="N31" i="1"/>
  <c r="I42" i="1"/>
  <c r="I44" i="1"/>
  <c r="O43" i="1"/>
  <c r="O44" i="1"/>
  <c r="I41" i="1"/>
  <c r="I43" i="1"/>
  <c r="L42" i="1"/>
  <c r="O42" i="1"/>
  <c r="L44" i="1"/>
  <c r="L43" i="1"/>
  <c r="O41" i="1"/>
  <c r="L41" i="1"/>
  <c r="K38" i="1"/>
  <c r="K36" i="1"/>
  <c r="H36" i="1"/>
  <c r="H35" i="1"/>
  <c r="H38" i="1"/>
  <c r="N38" i="1"/>
  <c r="N35" i="1"/>
  <c r="K35" i="1"/>
  <c r="N36" i="1"/>
  <c r="N37" i="1"/>
  <c r="K37" i="1"/>
  <c r="H37" i="1"/>
  <c r="P31" i="1"/>
  <c r="P30" i="1"/>
  <c r="M29" i="1"/>
  <c r="M31" i="1"/>
  <c r="M32" i="1"/>
  <c r="P32" i="1"/>
  <c r="P29" i="1"/>
  <c r="J29" i="1"/>
  <c r="M30" i="1"/>
  <c r="O37" i="1"/>
  <c r="L38" i="1"/>
  <c r="O35" i="1"/>
  <c r="I38" i="1"/>
  <c r="L35" i="1"/>
  <c r="O38" i="1"/>
  <c r="I35" i="1"/>
  <c r="L36" i="1"/>
  <c r="O36" i="1"/>
  <c r="I36" i="1"/>
  <c r="I37" i="1"/>
  <c r="L37" i="1"/>
  <c r="H32" i="1"/>
  <c r="H30" i="1"/>
  <c r="H31" i="1"/>
  <c r="I32" i="1"/>
  <c r="I30" i="1"/>
  <c r="I31" i="1"/>
  <c r="J30" i="1"/>
  <c r="J32" i="1"/>
  <c r="J31" i="1"/>
  <c r="E6" i="5"/>
  <c r="F6" i="5" s="1"/>
  <c r="H4" i="5" s="1"/>
  <c r="E8" i="5"/>
  <c r="F8" i="5" s="1"/>
  <c r="J4" i="5" s="1"/>
  <c r="E7" i="5"/>
  <c r="F7" i="5" s="1"/>
  <c r="I4" i="5" s="1"/>
  <c r="E4" i="5"/>
  <c r="F4" i="5" s="1"/>
  <c r="I3" i="5" s="1"/>
  <c r="E9" i="5"/>
  <c r="F9" i="5" s="1"/>
  <c r="H5" i="5" s="1"/>
  <c r="E10" i="5"/>
  <c r="E11" i="5"/>
  <c r="F10" i="5"/>
  <c r="I5" i="5" s="1"/>
  <c r="F11" i="5"/>
  <c r="J5" i="5" s="1"/>
  <c r="E5" i="5"/>
  <c r="F5" i="5" s="1"/>
  <c r="J3" i="5" s="1"/>
  <c r="E3" i="5"/>
  <c r="F3" i="5" s="1"/>
  <c r="H3" i="5" s="1"/>
  <c r="I31" i="2" l="1"/>
  <c r="J28" i="2"/>
  <c r="B55" i="3"/>
  <c r="J31" i="2"/>
  <c r="B54" i="3"/>
  <c r="C21" i="2"/>
  <c r="J21" i="2"/>
  <c r="C33" i="2"/>
  <c r="C26" i="2"/>
  <c r="C28" i="2"/>
  <c r="B53" i="3"/>
  <c r="I26" i="2"/>
  <c r="J26" i="2"/>
  <c r="K31" i="2"/>
  <c r="C27" i="2"/>
  <c r="C32" i="2"/>
  <c r="I28" i="2"/>
  <c r="C23" i="2"/>
  <c r="C22" i="2"/>
  <c r="R15" i="5" a="1"/>
  <c r="R12" i="5" a="1"/>
  <c r="R12" i="5" s="1"/>
  <c r="S12" i="5" s="1"/>
  <c r="T12" i="5" s="1"/>
  <c r="M3" i="5" a="1"/>
  <c r="M3" i="5" s="1"/>
  <c r="R9" i="5" a="1"/>
  <c r="C41" i="3" l="1"/>
  <c r="C42" i="3"/>
  <c r="C44" i="3"/>
  <c r="C43" i="3"/>
  <c r="J22" i="2"/>
  <c r="K32" i="2"/>
  <c r="C53" i="3"/>
  <c r="C55" i="3"/>
  <c r="C54" i="3"/>
  <c r="C56" i="3"/>
  <c r="K27" i="2"/>
  <c r="C48" i="3"/>
  <c r="C49" i="3"/>
  <c r="C47" i="3"/>
  <c r="C50" i="3"/>
  <c r="I27" i="2"/>
  <c r="B42" i="3"/>
  <c r="B44" i="3"/>
  <c r="B41" i="3"/>
  <c r="B43" i="3"/>
  <c r="I22" i="2"/>
  <c r="K33" i="2"/>
  <c r="D56" i="3"/>
  <c r="D54" i="3"/>
  <c r="D55" i="3"/>
  <c r="D53" i="3"/>
  <c r="D43" i="3"/>
  <c r="D41" i="3"/>
  <c r="D42" i="3"/>
  <c r="D44" i="3"/>
  <c r="I32" i="2"/>
  <c r="K28" i="2"/>
  <c r="D48" i="3"/>
  <c r="D47" i="3"/>
  <c r="D49" i="3"/>
  <c r="D50" i="3"/>
  <c r="J33" i="2"/>
  <c r="I21" i="2"/>
  <c r="J32" i="2"/>
  <c r="B47" i="3"/>
  <c r="K26" i="2"/>
  <c r="B48" i="3"/>
  <c r="B50" i="3"/>
  <c r="B49" i="3"/>
  <c r="J27" i="2"/>
  <c r="J23" i="2"/>
  <c r="I33" i="2"/>
  <c r="I23" i="2"/>
  <c r="K22" i="2"/>
  <c r="K21" i="2"/>
  <c r="K23" i="2"/>
  <c r="N3" i="5"/>
  <c r="O3" i="5" s="1"/>
  <c r="P3" i="5" s="1"/>
  <c r="M15" i="5" a="1"/>
  <c r="R15" i="5"/>
  <c r="S15" i="5" s="1"/>
  <c r="T15" i="5" s="1"/>
  <c r="S16" i="5"/>
  <c r="T16" i="5" s="1"/>
  <c r="S17" i="5"/>
  <c r="T17" i="5" s="1"/>
  <c r="N5" i="5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N4" i="5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S13" i="5"/>
  <c r="T13" i="5" s="1"/>
  <c r="S14" i="5"/>
  <c r="T14" i="5" s="1"/>
  <c r="R9" i="5"/>
  <c r="S9" i="5" s="1"/>
  <c r="T9" i="5" s="1"/>
  <c r="S11" i="5"/>
  <c r="T11" i="5" s="1"/>
  <c r="S10" i="5"/>
  <c r="T10" i="5" s="1"/>
  <c r="U14" i="5" l="1"/>
  <c r="U17" i="5"/>
  <c r="U12" i="5"/>
  <c r="U15" i="5"/>
  <c r="U13" i="5"/>
  <c r="U10" i="5"/>
  <c r="U16" i="5"/>
  <c r="M15" i="5"/>
  <c r="N15" i="5" s="1"/>
  <c r="O15" i="5" s="1"/>
  <c r="N16" i="5"/>
  <c r="O16" i="5" s="1"/>
  <c r="N17" i="5"/>
  <c r="O17" i="5" s="1"/>
  <c r="U9" i="5"/>
  <c r="Q3" i="5"/>
  <c r="R3" i="5" s="1"/>
  <c r="S3" i="5" s="1"/>
  <c r="T3" i="5" s="1"/>
  <c r="U3" i="5" s="1"/>
  <c r="V3" i="5" s="1"/>
  <c r="W3" i="5" s="1"/>
  <c r="X3" i="5" s="1"/>
  <c r="Y3" i="5" s="1"/>
  <c r="Z3" i="5" s="1"/>
  <c r="M12" i="5" a="1"/>
  <c r="U11" i="5"/>
  <c r="P17" i="5" l="1"/>
  <c r="P16" i="5"/>
  <c r="P15" i="5"/>
  <c r="M12" i="5"/>
  <c r="N12" i="5" s="1"/>
  <c r="O12" i="5" s="1"/>
  <c r="N14" i="5"/>
  <c r="O14" i="5" s="1"/>
  <c r="N13" i="5"/>
  <c r="O13" i="5" s="1"/>
  <c r="AA3" i="5"/>
  <c r="AB3" i="5" s="1"/>
  <c r="AC3" i="5" s="1"/>
  <c r="AD3" i="5" s="1"/>
  <c r="AE3" i="5" s="1"/>
  <c r="M9" i="5" a="1"/>
  <c r="P13" i="5" l="1"/>
  <c r="P14" i="5"/>
  <c r="P12" i="5"/>
  <c r="M9" i="5"/>
  <c r="N9" i="5" s="1"/>
  <c r="O9" i="5" s="1"/>
  <c r="N10" i="5"/>
  <c r="O10" i="5" s="1"/>
  <c r="N11" i="5"/>
  <c r="O11" i="5" s="1"/>
  <c r="P10" i="5" l="1"/>
  <c r="P11" i="5"/>
  <c r="P9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<sst xmlns="http://schemas.openxmlformats.org/spreadsheetml/2006/main" count="323" uniqueCount="78">
  <si>
    <t>Data Tahun 2020</t>
  </si>
  <si>
    <t>Provinsi</t>
  </si>
  <si>
    <t>Kabupaten/Kota</t>
  </si>
  <si>
    <t>PPM</t>
  </si>
  <si>
    <t>RLS</t>
  </si>
  <si>
    <t>TPT</t>
  </si>
  <si>
    <t>DKI JAKARTA</t>
  </si>
  <si>
    <t>Kota Jakarta Pusat</t>
  </si>
  <si>
    <t>JAWA BARAT</t>
  </si>
  <si>
    <t>Bandung Barat</t>
  </si>
  <si>
    <t>Kota Tasikmalaya</t>
  </si>
  <si>
    <t>BANTEN</t>
  </si>
  <si>
    <t>Kota Cilegon</t>
  </si>
  <si>
    <t>Data Tahun 2021</t>
  </si>
  <si>
    <t>Data Tahun 2022</t>
  </si>
  <si>
    <t>Indikator</t>
  </si>
  <si>
    <t>Z-Score: z = (x - mean) / stdev</t>
  </si>
  <si>
    <t>Matriks W (Produk Skalar antar Wilayah)</t>
  </si>
  <si>
    <t>W1 = Z1 * Z1^T</t>
  </si>
  <si>
    <t>RV(W1,W2)</t>
  </si>
  <si>
    <t>Matriks Inter-struktur W dan Koefisien RV</t>
  </si>
  <si>
    <t>RV(W1, W1)</t>
  </si>
  <si>
    <t>RV(W1,W3)</t>
  </si>
  <si>
    <t>Score</t>
  </si>
  <si>
    <t>Variabel</t>
  </si>
  <si>
    <t>Z-Score transpose</t>
  </si>
  <si>
    <t>Loadings</t>
  </si>
  <si>
    <t>Matriks S (Produk Skalar antar Variabel)</t>
  </si>
  <si>
    <t>RV(W2, W1)</t>
  </si>
  <si>
    <t>RV(W2,W2)</t>
  </si>
  <si>
    <t>RV(W2,W3)</t>
  </si>
  <si>
    <t>RV(W3, W1)</t>
  </si>
  <si>
    <t>RV(W3,W2)</t>
  </si>
  <si>
    <t>RV(W3,W3)</t>
  </si>
  <si>
    <t>Matriks Inter-struktur S dan Koefisien RV</t>
  </si>
  <si>
    <t>Matriks RV Score:</t>
  </si>
  <si>
    <t>Matriks RV Loadings:</t>
  </si>
  <si>
    <t>RV(S1, S1)</t>
  </si>
  <si>
    <t>RV(S1,S2)</t>
  </si>
  <si>
    <t>RV(S1,S3)</t>
  </si>
  <si>
    <t>RV(S2, S1)</t>
  </si>
  <si>
    <t>RV(S2,S2)</t>
  </si>
  <si>
    <t>RV(S2,S3)</t>
  </si>
  <si>
    <t>RV(S3, S1)</t>
  </si>
  <si>
    <t>RV(S3,S2)</t>
  </si>
  <si>
    <t>RV(S3,S3)</t>
  </si>
  <si>
    <t>z3</t>
  </si>
  <si>
    <t>z4</t>
  </si>
  <si>
    <t>z5</t>
  </si>
  <si>
    <t>z6</t>
  </si>
  <si>
    <t>z7</t>
  </si>
  <si>
    <t>z8</t>
  </si>
  <si>
    <t>p3</t>
  </si>
  <si>
    <t>p4</t>
  </si>
  <si>
    <t>p5</t>
  </si>
  <si>
    <t>m3</t>
  </si>
  <si>
    <t>m4</t>
  </si>
  <si>
    <t>m5</t>
  </si>
  <si>
    <t>p6</t>
  </si>
  <si>
    <t>p7</t>
  </si>
  <si>
    <t>p8</t>
  </si>
  <si>
    <t>IPM</t>
  </si>
  <si>
    <t>JP</t>
  </si>
  <si>
    <t>Rata-rata</t>
  </si>
  <si>
    <t>Simpangan Baku</t>
  </si>
  <si>
    <t>Min</t>
  </si>
  <si>
    <t>Max</t>
  </si>
  <si>
    <t>Q1</t>
  </si>
  <si>
    <t>Q2</t>
  </si>
  <si>
    <t>Q3</t>
  </si>
  <si>
    <t>TANPA BOBOT</t>
  </si>
  <si>
    <t>Skewness</t>
  </si>
  <si>
    <t>Kurtosis</t>
  </si>
  <si>
    <t>CV (%)</t>
  </si>
  <si>
    <t>Dengan BOBOT</t>
  </si>
  <si>
    <t>Bobot</t>
  </si>
  <si>
    <t>Bobot^(1/2)</t>
  </si>
  <si>
    <t>W1 =(D^(1/2) * Z1) * (D^(1/2) * Z1)^T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</si>
</sst>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2F559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0" fillId="0" borderId="2" xfId="0" applyFill="1" applyBorder="1"/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opLeftCell="A2" zoomScale="145" zoomScaleNormal="145" workbookViewId="0">
      <selection activeCell="E22" sqref="E22:E24"/>
    </sheetView>
  </sheetViews>
  <sheetFormatPr defaultRowHeight="15" x14ac:dyDescent="0.25"/>
  <cols>
    <col min="1" max="1" width="15.7109375" bestFit="1" customWidth="1"/>
    <col min="2" max="2" width="17" bestFit="1" customWidth="1"/>
    <col min="10" max="10" width="10.140625" bestFit="1" customWidth="1"/>
    <col min="13" max="13" width="12.85546875" bestFit="1" customWidth="1"/>
    <col min="16" max="16" width="12.28515625" bestFit="1" customWidth="1"/>
  </cols>
  <sheetData>
    <row r="1" spans="1:13" x14ac:dyDescent="0.25">
      <c r="A1" s="1" t="s">
        <v>0</v>
      </c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61</v>
      </c>
      <c r="G2" s="1" t="s">
        <v>62</v>
      </c>
    </row>
    <row r="3" spans="1:13" x14ac:dyDescent="0.25">
      <c r="A3" s="2" t="s">
        <v>6</v>
      </c>
      <c r="B3" s="2" t="s">
        <v>7</v>
      </c>
      <c r="C3" s="2">
        <v>4.51</v>
      </c>
      <c r="D3" s="2">
        <v>11.38</v>
      </c>
      <c r="E3" s="2">
        <v>10.97</v>
      </c>
      <c r="F3" s="2">
        <v>81.39</v>
      </c>
      <c r="G3" s="2">
        <v>1056896</v>
      </c>
      <c r="H3">
        <f>(C3-'2. Statistika Deskriptif'!B4)^3</f>
        <v>-39.477655125000013</v>
      </c>
      <c r="I3">
        <f>(D3-'2. Statistika Deskriptif'!B5)^3</f>
        <v>4.805419921875016</v>
      </c>
      <c r="J3">
        <f>(E3-'2. Statistika Deskriptif'!B6)^3</f>
        <v>-1.249999999999254E-7</v>
      </c>
      <c r="K3">
        <f>(C3-'2. Statistika Deskriptif'!B4)^4</f>
        <v>134.42141570062503</v>
      </c>
      <c r="L3">
        <f>(D3-'2. Statistika Deskriptif'!B5)^4</f>
        <v>8.109146118164098</v>
      </c>
      <c r="M3">
        <f>(E3-'2. Statistika Deskriptif'!B6)^4</f>
        <v>6.2499999999950267E-10</v>
      </c>
    </row>
    <row r="4" spans="1:13" x14ac:dyDescent="0.25">
      <c r="A4" s="2" t="s">
        <v>8</v>
      </c>
      <c r="B4" s="2" t="s">
        <v>9</v>
      </c>
      <c r="C4" s="2">
        <v>10.49</v>
      </c>
      <c r="D4" s="2">
        <v>8.19</v>
      </c>
      <c r="E4" s="2">
        <v>12.25</v>
      </c>
      <c r="F4" s="2">
        <v>68.08</v>
      </c>
      <c r="G4" s="2">
        <v>1782190</v>
      </c>
      <c r="H4">
        <f>(C4-'2. Statistika Deskriptif'!B4)^3</f>
        <v>17.073859375000005</v>
      </c>
      <c r="I4">
        <f>(D4-'2. Statistika Deskriptif'!B5)^3</f>
        <v>-3.3919031406249971</v>
      </c>
      <c r="J4">
        <f>(E4-'2. Statistika Deskriptif'!B6)^3</f>
        <v>2.0726718750000019</v>
      </c>
      <c r="K4">
        <f>(C4-'2. Statistika Deskriptif'!B4)^4</f>
        <v>43.965187890625018</v>
      </c>
      <c r="L4">
        <f>(D4-'2. Statistika Deskriptif'!B5)^4</f>
        <v>5.096334468789057</v>
      </c>
      <c r="M4">
        <f>(E4-'2. Statistika Deskriptif'!B6)^4</f>
        <v>2.6426566406250034</v>
      </c>
    </row>
    <row r="5" spans="1:13" x14ac:dyDescent="0.25">
      <c r="A5" s="2" t="s">
        <v>8</v>
      </c>
      <c r="B5" s="2" t="s">
        <v>10</v>
      </c>
      <c r="C5" s="2">
        <v>12.97</v>
      </c>
      <c r="D5" s="2">
        <v>9.33</v>
      </c>
      <c r="E5" s="2">
        <v>7.99</v>
      </c>
      <c r="F5" s="2">
        <v>72.97</v>
      </c>
      <c r="G5" s="2">
        <v>713670</v>
      </c>
      <c r="H5">
        <f>(C5-'2. Statistika Deskriptif'!B4)^3</f>
        <v>129.17054137500006</v>
      </c>
      <c r="I5">
        <f>(D5-'2. Statistika Deskriptif'!B5)^3</f>
        <v>-4.7634765624999582E-2</v>
      </c>
      <c r="J5">
        <f>(E5-'2. Statistika Deskriptif'!B6)^3</f>
        <v>-26.597021624999986</v>
      </c>
      <c r="K5">
        <f>(C5-'2. Statistika Deskriptif'!B4)^4</f>
        <v>652.95708665062523</v>
      </c>
      <c r="L5">
        <f>(D5-'2. Statistika Deskriptif'!B5)^4</f>
        <v>1.7267602539062295E-2</v>
      </c>
      <c r="M5">
        <f>(E5-'2. Statistika Deskriptif'!B6)^4</f>
        <v>79.392109550624951</v>
      </c>
    </row>
    <row r="6" spans="1:13" x14ac:dyDescent="0.25">
      <c r="A6" s="2" t="s">
        <v>11</v>
      </c>
      <c r="B6" s="2" t="s">
        <v>12</v>
      </c>
      <c r="C6" s="2">
        <v>3.69</v>
      </c>
      <c r="D6" s="2">
        <v>9.8699999999999992</v>
      </c>
      <c r="E6" s="2">
        <v>12.69</v>
      </c>
      <c r="F6" s="2">
        <v>73.05</v>
      </c>
      <c r="G6" s="2">
        <v>433.76</v>
      </c>
      <c r="H6">
        <f>(C6-'2. Statistika Deskriptif'!B4)^3</f>
        <v>-75.418890624999989</v>
      </c>
      <c r="I6">
        <f>(D6-'2. Statistika Deskriptif'!B5)^3</f>
        <v>5.5923593750000205E-3</v>
      </c>
      <c r="J6">
        <f>(E6-'2. Statistika Deskriptif'!B6)^3</f>
        <v>5.0442008749999987</v>
      </c>
      <c r="K6">
        <f>(C6-'2. Statistika Deskriptif'!B4)^4</f>
        <v>318.64481289062491</v>
      </c>
      <c r="L6">
        <f>(D6-'2. Statistika Deskriptif'!B5)^4</f>
        <v>9.9264378906250487E-4</v>
      </c>
      <c r="M6">
        <f>(E6-'2. Statistika Deskriptif'!B6)^4</f>
        <v>8.6508045006249965</v>
      </c>
    </row>
    <row r="7" spans="1:13" x14ac:dyDescent="0.25">
      <c r="A7" s="1" t="s">
        <v>13</v>
      </c>
    </row>
    <row r="8" spans="1:13" x14ac:dyDescent="0.2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61</v>
      </c>
      <c r="G8" s="1" t="s">
        <v>62</v>
      </c>
    </row>
    <row r="9" spans="1:13" x14ac:dyDescent="0.25">
      <c r="A9" s="2" t="s">
        <v>6</v>
      </c>
      <c r="B9" s="2" t="s">
        <v>7</v>
      </c>
      <c r="C9" s="2">
        <v>4.9400000000000004</v>
      </c>
      <c r="D9" s="2">
        <v>11.39</v>
      </c>
      <c r="E9" s="2">
        <v>7.75</v>
      </c>
      <c r="F9" s="2">
        <v>81.790000000000006</v>
      </c>
      <c r="G9" s="2">
        <v>1057465</v>
      </c>
      <c r="H9" s="5">
        <f>(C9-'2. Statistika Deskriptif'!B9)^3</f>
        <v>-41.511587890625044</v>
      </c>
      <c r="I9" s="5">
        <f>(D9-'2. Statistika Deskriptif'!B10)^3</f>
        <v>4.0386695781250088</v>
      </c>
      <c r="J9" s="5">
        <f>(E9-'2. Statistika Deskriptif'!B11)^3</f>
        <v>-3.7058852968749956</v>
      </c>
      <c r="K9" s="5">
        <f>(C9-'2. Statistika Deskriptif'!B9)^4</f>
        <v>143.73387307128925</v>
      </c>
      <c r="L9" s="5">
        <f>(D9-'2. Statistika Deskriptif'!B10)^4</f>
        <v>6.4315813031640809</v>
      </c>
      <c r="M9" s="5">
        <f>(E9-'2. Statistika Deskriptif'!B11)^4</f>
        <v>5.7348574969140538</v>
      </c>
    </row>
    <row r="10" spans="1:13" x14ac:dyDescent="0.25">
      <c r="A10" s="2" t="s">
        <v>8</v>
      </c>
      <c r="B10" s="2" t="s">
        <v>9</v>
      </c>
      <c r="C10" s="2">
        <v>11.3</v>
      </c>
      <c r="D10" s="2">
        <v>8.1999999999999993</v>
      </c>
      <c r="E10" s="2">
        <v>11.65</v>
      </c>
      <c r="F10" s="2">
        <v>68.3</v>
      </c>
      <c r="G10" s="2">
        <v>1808420</v>
      </c>
      <c r="H10" s="5">
        <f>(C10-'2. Statistika Deskriptif'!B9)^3</f>
        <v>24.325979359374976</v>
      </c>
      <c r="I10" s="5">
        <f>(D10-'2. Statistika Deskriptif'!B10)^3</f>
        <v>-4.0768299843750011</v>
      </c>
      <c r="J10" s="5">
        <f>(E10-'2. Statistika Deskriptif'!B11)^3</f>
        <v>13.019337828125016</v>
      </c>
      <c r="K10" s="5">
        <f>(C10-'2. Statistika Deskriptif'!B9)^4</f>
        <v>70.484525193788983</v>
      </c>
      <c r="L10" s="5">
        <f>(D10-'2. Statistika Deskriptif'!B10)^4</f>
        <v>6.5127359000390639</v>
      </c>
      <c r="M10" s="5">
        <f>(E10-'2. Statistika Deskriptif'!B11)^4</f>
        <v>30.627992240664117</v>
      </c>
    </row>
    <row r="11" spans="1:13" x14ac:dyDescent="0.25">
      <c r="A11" s="2" t="s">
        <v>8</v>
      </c>
      <c r="B11" s="2" t="s">
        <v>10</v>
      </c>
      <c r="C11" s="2">
        <v>13.13</v>
      </c>
      <c r="D11" s="2">
        <v>9.52</v>
      </c>
      <c r="E11" s="2">
        <v>7.66</v>
      </c>
      <c r="F11" s="2">
        <v>73.2</v>
      </c>
      <c r="G11" s="2">
        <v>723100</v>
      </c>
      <c r="H11" s="5">
        <f>(C11-'2. Statistika Deskriptif'!B9)^3</f>
        <v>105.65610892187495</v>
      </c>
      <c r="I11" s="5">
        <f>(D11-'2. Statistika Deskriptif'!B10)^3</f>
        <v>-2.1369234374999966E-2</v>
      </c>
      <c r="J11" s="5">
        <f>(E11-'2. Statistika Deskriptif'!B11)^3</f>
        <v>-4.3908027343749945</v>
      </c>
      <c r="K11" s="5">
        <f>(C11-'2. Statistika Deskriptif'!B9)^4</f>
        <v>499.48925492816375</v>
      </c>
      <c r="L11" s="5">
        <f>(D11-'2. Statistika Deskriptif'!B10)^4</f>
        <v>5.9299625390624869E-3</v>
      </c>
      <c r="M11" s="5">
        <f>(E11-'2. Statistika Deskriptif'!B11)^4</f>
        <v>7.1899394775390491</v>
      </c>
    </row>
    <row r="12" spans="1:13" x14ac:dyDescent="0.25">
      <c r="A12" s="2" t="s">
        <v>11</v>
      </c>
      <c r="B12" s="2" t="s">
        <v>12</v>
      </c>
      <c r="C12" s="2">
        <v>4.24</v>
      </c>
      <c r="D12" s="2">
        <v>10.08</v>
      </c>
      <c r="E12" s="2">
        <v>10.130000000000001</v>
      </c>
      <c r="F12" s="2">
        <v>73.3</v>
      </c>
      <c r="G12" s="2">
        <v>439.48</v>
      </c>
      <c r="H12" s="5">
        <f>(C12-'2. Statistika Deskriptif'!B9)^3</f>
        <v>-72.121166015625079</v>
      </c>
      <c r="I12" s="5">
        <f>(D12-'2. Statistika Deskriptif'!B10)^3</f>
        <v>2.2545265625000151E-2</v>
      </c>
      <c r="J12" s="5">
        <f>(E12-'2. Statistika Deskriptif'!B11)^3</f>
        <v>0.57696932812500279</v>
      </c>
      <c r="K12" s="5">
        <f>(C12-'2. Statistika Deskriptif'!B9)^4</f>
        <v>300.20435354003951</v>
      </c>
      <c r="L12" s="5">
        <f>(D12-'2. Statistika Deskriptif'!B10)^4</f>
        <v>6.3690375390625569E-3</v>
      </c>
      <c r="M12" s="5">
        <f>(E12-'2. Statistika Deskriptif'!B11)^4</f>
        <v>0.48032696566406563</v>
      </c>
    </row>
    <row r="13" spans="1:13" x14ac:dyDescent="0.25">
      <c r="A13" s="1" t="s">
        <v>14</v>
      </c>
    </row>
    <row r="14" spans="1:13" x14ac:dyDescent="0.25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61</v>
      </c>
      <c r="G14" s="1" t="s">
        <v>62</v>
      </c>
    </row>
    <row r="15" spans="1:13" x14ac:dyDescent="0.25">
      <c r="A15" s="2" t="s">
        <v>6</v>
      </c>
      <c r="B15" s="2" t="s">
        <v>7</v>
      </c>
      <c r="C15" s="2">
        <v>4.9000000000000004</v>
      </c>
      <c r="D15" s="2">
        <v>11.53</v>
      </c>
      <c r="E15" s="2">
        <v>5.88</v>
      </c>
      <c r="F15" s="2">
        <v>82.13</v>
      </c>
      <c r="G15" s="2">
        <v>1053482</v>
      </c>
      <c r="H15" s="5">
        <f>(C15-'2. Statistika Deskriptif'!B14)^3</f>
        <v>-30.371327999999977</v>
      </c>
      <c r="I15" s="5">
        <f>(D15-'2. Statistika Deskriptif'!B15)^3</f>
        <v>4.2910156249999858</v>
      </c>
      <c r="J15" s="5">
        <f>(E15-'2. Statistika Deskriptif'!B16)^3</f>
        <v>-4.7204954843750091</v>
      </c>
      <c r="K15" s="5">
        <f>(C15-'2. Statistika Deskriptif'!B14)^4</f>
        <v>94.758543359999919</v>
      </c>
      <c r="L15" s="5">
        <f>(D15-'2. Statistika Deskriptif'!B15)^4</f>
        <v>6.9729003906249698</v>
      </c>
      <c r="M15" s="5">
        <f>(E15-'2. Statistika Deskriptif'!B16)^4</f>
        <v>7.9186311750390841</v>
      </c>
    </row>
    <row r="16" spans="1:13" x14ac:dyDescent="0.25">
      <c r="A16" s="2" t="s">
        <v>8</v>
      </c>
      <c r="B16" s="2" t="s">
        <v>9</v>
      </c>
      <c r="C16" s="2">
        <v>10.82</v>
      </c>
      <c r="D16" s="2">
        <v>8.2200000000000006</v>
      </c>
      <c r="E16" s="2">
        <v>9.6300000000000008</v>
      </c>
      <c r="F16" s="2">
        <v>69.040000000000006</v>
      </c>
      <c r="G16" s="2">
        <v>1834230</v>
      </c>
      <c r="H16" s="5">
        <f>(C16-'2. Statistika Deskriptif'!B14)^3</f>
        <v>21.952000000000016</v>
      </c>
      <c r="I16" s="5">
        <f>(D16-'2. Statistika Deskriptif'!B15)^3</f>
        <v>-4.7840941250000046</v>
      </c>
      <c r="J16" s="5">
        <f>(E16-'2. Statistika Deskriptif'!B16)^3</f>
        <v>8.9019185781249988</v>
      </c>
      <c r="K16" s="5">
        <f>(C16-'2. Statistika Deskriptif'!B14)^4</f>
        <v>61.465600000000066</v>
      </c>
      <c r="L16" s="5">
        <f>(D16-'2. Statistika Deskriptif'!B15)^4</f>
        <v>8.0611986006250103</v>
      </c>
      <c r="M16" s="5">
        <f>(E16-'2. Statistika Deskriptif'!B16)^4</f>
        <v>18.44922625316406</v>
      </c>
    </row>
    <row r="17" spans="1:16" x14ac:dyDescent="0.25">
      <c r="A17" s="2" t="s">
        <v>8</v>
      </c>
      <c r="B17" s="2" t="s">
        <v>10</v>
      </c>
      <c r="C17" s="2">
        <v>12.72</v>
      </c>
      <c r="D17" s="2">
        <v>9.5299999999999994</v>
      </c>
      <c r="E17" s="2">
        <v>6.62</v>
      </c>
      <c r="F17" s="2">
        <v>73.83</v>
      </c>
      <c r="G17" s="2">
        <v>732480</v>
      </c>
      <c r="H17" s="5">
        <f>(C17-'2. Statistika Deskriptif'!B14)^3</f>
        <v>103.82300000000008</v>
      </c>
      <c r="I17" s="5">
        <f>(D17-'2. Statistika Deskriptif'!B15)^3</f>
        <v>-5.2734375000000749E-2</v>
      </c>
      <c r="J17" s="5">
        <f>(E17-'2. Statistika Deskriptif'!B16)^3</f>
        <v>-0.82397460937500233</v>
      </c>
      <c r="K17" s="5">
        <f>(C17-'2. Statistika Deskriptif'!B14)^4</f>
        <v>487.96810000000045</v>
      </c>
      <c r="L17" s="5">
        <f>(D17-'2. Statistika Deskriptif'!B15)^4</f>
        <v>1.9775390625000375E-2</v>
      </c>
      <c r="M17" s="5">
        <f>(E17-'2. Statistika Deskriptif'!B16)^4</f>
        <v>0.77247619628906539</v>
      </c>
    </row>
    <row r="18" spans="1:16" x14ac:dyDescent="0.25">
      <c r="A18" s="2" t="s">
        <v>11</v>
      </c>
      <c r="B18" s="2" t="s">
        <v>12</v>
      </c>
      <c r="C18" s="2">
        <v>3.64</v>
      </c>
      <c r="D18" s="2">
        <v>10.34</v>
      </c>
      <c r="E18" s="2">
        <v>8.1</v>
      </c>
      <c r="F18" s="2">
        <v>73.95</v>
      </c>
      <c r="G18" s="2">
        <v>445.06</v>
      </c>
      <c r="H18" s="5">
        <f>(C18-'2. Statistika Deskriptif'!B14)^3</f>
        <v>-84.027671999999953</v>
      </c>
      <c r="I18" s="5">
        <f>(D18-'2. Statistika Deskriptif'!B15)^3</f>
        <v>8.2312874999999272E-2</v>
      </c>
      <c r="J18" s="5">
        <f>(E18-'2. Statistika Deskriptif'!B16)^3</f>
        <v>0.15966114062499881</v>
      </c>
      <c r="K18" s="5">
        <f>(C18-'2. Statistika Deskriptif'!B14)^4</f>
        <v>368.04120335999971</v>
      </c>
      <c r="L18" s="5">
        <f>(D18-'2. Statistika Deskriptif'!B15)^4</f>
        <v>3.580610062499958E-2</v>
      </c>
      <c r="M18" s="5">
        <f>(E18-'2. Statistika Deskriptif'!B16)^4</f>
        <v>8.6616168789061643E-2</v>
      </c>
    </row>
    <row r="20" spans="1:16" x14ac:dyDescent="0.25">
      <c r="A20" s="6" t="s">
        <v>1</v>
      </c>
      <c r="B20" s="6" t="s">
        <v>2</v>
      </c>
      <c r="C20" s="6" t="s">
        <v>63</v>
      </c>
      <c r="D20" s="6" t="s">
        <v>75</v>
      </c>
      <c r="E20" s="6" t="s">
        <v>76</v>
      </c>
    </row>
    <row r="21" spans="1:16" x14ac:dyDescent="0.25">
      <c r="A21" s="7" t="s">
        <v>6</v>
      </c>
      <c r="B21" s="7" t="s">
        <v>7</v>
      </c>
      <c r="C21" s="7">
        <f>(G3+G9+G15)/3</f>
        <v>1055947.6666666667</v>
      </c>
      <c r="D21" s="7">
        <f>C21/C$25</f>
        <v>0.29432026733409078</v>
      </c>
      <c r="E21" s="7">
        <f>SQRT(D21)</f>
        <v>0.54251291904810039</v>
      </c>
    </row>
    <row r="22" spans="1:16" x14ac:dyDescent="0.25">
      <c r="A22" s="7" t="s">
        <v>8</v>
      </c>
      <c r="B22" s="7" t="s">
        <v>9</v>
      </c>
      <c r="C22" s="7">
        <f>(G4+G10+G16)/3</f>
        <v>1808280</v>
      </c>
      <c r="D22" s="7">
        <f t="shared" ref="D22:D24" si="0">C22/C$25</f>
        <v>0.50401499034032582</v>
      </c>
      <c r="E22" s="7">
        <f t="shared" ref="E22:E24" si="1">SQRT(D22)</f>
        <v>0.70994013151837376</v>
      </c>
    </row>
    <row r="23" spans="1:16" x14ac:dyDescent="0.25">
      <c r="A23" s="7" t="s">
        <v>8</v>
      </c>
      <c r="B23" s="7" t="s">
        <v>10</v>
      </c>
      <c r="C23" s="7">
        <f>(G5+G11+G17)/3</f>
        <v>723083.33333333337</v>
      </c>
      <c r="D23" s="7">
        <f t="shared" si="0"/>
        <v>0.20154226074792103</v>
      </c>
      <c r="E23" s="7">
        <f t="shared" si="1"/>
        <v>0.44893458404083886</v>
      </c>
    </row>
    <row r="24" spans="1:16" x14ac:dyDescent="0.25">
      <c r="A24" s="7" t="s">
        <v>11</v>
      </c>
      <c r="B24" s="7" t="s">
        <v>12</v>
      </c>
      <c r="C24" s="7">
        <f>(G6+G12+G18)/3</f>
        <v>439.43333333333334</v>
      </c>
      <c r="D24" s="7">
        <f t="shared" si="0"/>
        <v>1.2248157766231845E-4</v>
      </c>
      <c r="E24" s="7">
        <f t="shared" si="1"/>
        <v>1.1067139542913447E-2</v>
      </c>
    </row>
    <row r="25" spans="1:16" x14ac:dyDescent="0.25">
      <c r="C25" s="4">
        <f>SUM(C21:C24)</f>
        <v>3587750.4333333336</v>
      </c>
    </row>
    <row r="27" spans="1:16" x14ac:dyDescent="0.25">
      <c r="A27" s="6" t="s">
        <v>0</v>
      </c>
      <c r="B27" s="5"/>
      <c r="C27" s="5"/>
      <c r="D27" s="5"/>
      <c r="E27" s="5"/>
      <c r="F27" s="5"/>
      <c r="G27" s="5"/>
    </row>
    <row r="28" spans="1:16" x14ac:dyDescent="0.25">
      <c r="A28" s="6" t="s">
        <v>1</v>
      </c>
      <c r="B28" s="6" t="s">
        <v>2</v>
      </c>
      <c r="C28" s="6" t="s">
        <v>3</v>
      </c>
      <c r="D28" s="6" t="s">
        <v>4</v>
      </c>
      <c r="E28" s="6" t="s">
        <v>5</v>
      </c>
      <c r="F28" s="6" t="s">
        <v>61</v>
      </c>
      <c r="G28" s="6" t="s">
        <v>62</v>
      </c>
    </row>
    <row r="29" spans="1:16" x14ac:dyDescent="0.25">
      <c r="A29" s="7" t="s">
        <v>6</v>
      </c>
      <c r="B29" s="7" t="s">
        <v>7</v>
      </c>
      <c r="C29" s="7">
        <f>C3*$D21</f>
        <v>1.3273844056767494</v>
      </c>
      <c r="D29" s="7">
        <f t="shared" ref="D29:G29" si="2">D3*$D21</f>
        <v>3.3493646422619534</v>
      </c>
      <c r="E29" s="7">
        <f t="shared" si="2"/>
        <v>3.2286933326549758</v>
      </c>
      <c r="F29" s="7">
        <f t="shared" si="2"/>
        <v>23.954726558321649</v>
      </c>
      <c r="G29" s="7">
        <f t="shared" si="2"/>
        <v>311065.91326433123</v>
      </c>
      <c r="H29" s="4">
        <f>((C3-'2. Statistika Deskriptif'!B$21)^2)*$D21</f>
        <v>6.5540863692277433</v>
      </c>
      <c r="I29" s="4">
        <f>((D3-'2. Statistika Deskriptif'!B$22)^2)*$D21</f>
        <v>1.2023174559240288</v>
      </c>
      <c r="J29">
        <f>((E3-'2. Statistika Deskriptif'!B$23)^2)*$D21</f>
        <v>5.8949796575725783E-4</v>
      </c>
      <c r="K29">
        <f>((C3-'2. Statistika Deskriptif'!B$21)^3)*$D21</f>
        <v>-30.92845000249303</v>
      </c>
      <c r="L29">
        <f>((D3-'2. Statistika Deskriptif'!B$22)^3)*$D21</f>
        <v>2.4300692173211229</v>
      </c>
      <c r="M29">
        <f>((E3-'2. Statistika Deskriptif'!B$23)^3)*$D21</f>
        <v>-2.6382344163235446E-5</v>
      </c>
      <c r="N29">
        <f>((C3-'2. Statistika Deskriptif'!B$21)^4)*$D21</f>
        <v>145.95001738883431</v>
      </c>
      <c r="O29">
        <f>((D3-'2. Statistika Deskriptif'!B$22)^4)*$D21</f>
        <v>4.9115450930829949</v>
      </c>
      <c r="P29">
        <f>((E3-'2. Statistika Deskriptif'!B$23)^4)*$D21</f>
        <v>1.1807132916112764E-6</v>
      </c>
    </row>
    <row r="30" spans="1:16" x14ac:dyDescent="0.25">
      <c r="A30" s="7" t="s">
        <v>8</v>
      </c>
      <c r="B30" s="7" t="s">
        <v>9</v>
      </c>
      <c r="C30" s="7">
        <f t="shared" ref="C30:G30" si="3">C4*$D22</f>
        <v>5.2871172486700182</v>
      </c>
      <c r="D30" s="7">
        <f t="shared" si="3"/>
        <v>4.1278827708872683</v>
      </c>
      <c r="E30" s="7">
        <f t="shared" si="3"/>
        <v>6.1741836316689911</v>
      </c>
      <c r="F30" s="7">
        <f t="shared" si="3"/>
        <v>34.313340542369382</v>
      </c>
      <c r="G30" s="7">
        <f t="shared" si="3"/>
        <v>898250.4756346253</v>
      </c>
      <c r="H30" s="4">
        <f>((C4-'2. Statistika Deskriptif'!B$21)^2)*$D22</f>
        <v>0.80149981885692678</v>
      </c>
      <c r="I30" s="4">
        <f>((D4-'2. Statistika Deskriptif'!B$22)^2)*$D22</f>
        <v>0.68858529720798056</v>
      </c>
      <c r="J30" s="5">
        <f>((E4-'2. Statistika Deskriptif'!B$23)^2)*$D22</f>
        <v>0.76904264468871986</v>
      </c>
      <c r="K30" s="5">
        <f>((C4-'2. Statistika Deskriptif'!B$21)^3)*$D22</f>
        <v>1.0107259498557426</v>
      </c>
      <c r="L30" s="5">
        <f>((D4-'2. Statistika Deskriptif'!B$22)^3)*$D22</f>
        <v>-0.80484989424572395</v>
      </c>
      <c r="M30" s="5">
        <f>((E4-'2. Statistika Deskriptif'!B$23)^3)*$D22</f>
        <v>0.9499569130348392</v>
      </c>
      <c r="N30" s="5">
        <f>((C4-'2. Statistika Deskriptif'!B$21)^4)*$D22</f>
        <v>1.2745691535760033</v>
      </c>
      <c r="O30" s="5">
        <f>((D4-'2. Statistika Deskriptif'!B$22)^4)*$D22</f>
        <v>0.94074525682429211</v>
      </c>
      <c r="P30" s="5">
        <f>((E4-'2. Statistika Deskriptif'!B$23)^4)*$D22</f>
        <v>1.1734305540207679</v>
      </c>
    </row>
    <row r="31" spans="1:16" x14ac:dyDescent="0.25">
      <c r="A31" s="7" t="s">
        <v>8</v>
      </c>
      <c r="B31" s="7" t="s">
        <v>10</v>
      </c>
      <c r="C31" s="7">
        <f t="shared" ref="C31:G31" si="4">C5*$D23</f>
        <v>2.6140031219005357</v>
      </c>
      <c r="D31" s="7">
        <f t="shared" si="4"/>
        <v>1.8803892927781032</v>
      </c>
      <c r="E31" s="7">
        <f t="shared" si="4"/>
        <v>1.6103226633758891</v>
      </c>
      <c r="F31" s="7">
        <f t="shared" si="4"/>
        <v>14.706538766775797</v>
      </c>
      <c r="G31" s="7">
        <f t="shared" si="4"/>
        <v>143834.6652279688</v>
      </c>
      <c r="H31" s="4">
        <f>((C5-'2. Statistika Deskriptif'!B$21)^2)*$D23</f>
        <v>2.820665508067262</v>
      </c>
      <c r="I31" s="4">
        <f>((D5-'2. Statistika Deskriptif'!B$22)^2)*$D23</f>
        <v>1.6769698419622853E-4</v>
      </c>
      <c r="J31" s="5">
        <f>((E5-'2. Statistika Deskriptif'!B$23)^2)*$D23</f>
        <v>1.8439376077514917</v>
      </c>
      <c r="K31" s="5">
        <f>((C5-'2. Statistika Deskriptif'!B$21)^3)*$D23</f>
        <v>10.552231706655755</v>
      </c>
      <c r="L31" s="5">
        <f>((D5-'2. Statistika Deskriptif'!B$22)^3)*$D23</f>
        <v>-4.8373199762110559E-6</v>
      </c>
      <c r="M31" s="5">
        <f>((E5-'2. Statistika Deskriptif'!B$23)^3)*$D23</f>
        <v>-5.5774575052910151</v>
      </c>
      <c r="N31" s="5">
        <f>((C5-'2. Statistika Deskriptif'!B$21)^4)*$D23</f>
        <v>39.476355375171188</v>
      </c>
      <c r="O31" s="5">
        <f>((D5-'2. Statistika Deskriptif'!B$22)^4)*$D23</f>
        <v>1.3953539274665605E-7</v>
      </c>
      <c r="P31" s="5">
        <f>((E5-'2. Statistika Deskriptif'!B$23)^4)*$D23</f>
        <v>16.870436446740946</v>
      </c>
    </row>
    <row r="32" spans="1:16" x14ac:dyDescent="0.25">
      <c r="A32" s="7" t="s">
        <v>11</v>
      </c>
      <c r="B32" s="7" t="s">
        <v>12</v>
      </c>
      <c r="C32" s="7">
        <f t="shared" ref="C32:G32" si="5">C6*$D24</f>
        <v>4.5195702157395503E-4</v>
      </c>
      <c r="D32" s="7">
        <f t="shared" si="5"/>
        <v>1.2088931715270831E-3</v>
      </c>
      <c r="E32" s="7">
        <f t="shared" si="5"/>
        <v>1.5542912205348211E-3</v>
      </c>
      <c r="F32" s="7">
        <f t="shared" si="5"/>
        <v>8.9472792482323624E-3</v>
      </c>
      <c r="G32" s="7">
        <f t="shared" si="5"/>
        <v>5.3127609126807251E-2</v>
      </c>
      <c r="H32" s="4">
        <f>((C6-'2. Statistika Deskriptif'!B$21)^2)*$D24</f>
        <v>3.7577399093073646E-3</v>
      </c>
      <c r="I32" s="4">
        <f>((D6-'2. Statistika Deskriptif'!B$22)^2)*$D24</f>
        <v>3.2001842274494881E-5</v>
      </c>
      <c r="J32" s="5">
        <f>((E6-'2. Statistika Deskriptif'!B$23)^2)*$D24</f>
        <v>3.437383540820161E-4</v>
      </c>
      <c r="K32" s="5">
        <f>((C6-'2. Statistika Deskriptif'!B$21)^3)*$D24</f>
        <v>-2.0813958772531206E-2</v>
      </c>
      <c r="L32" s="5">
        <f>((D6-'2. Statistika Deskriptif'!B$22)^3)*$D24</f>
        <v>1.6357882515552413E-5</v>
      </c>
      <c r="M32" s="5">
        <f>((E6-'2. Statistika Deskriptif'!B$23)^3)*$D24</f>
        <v>5.758463305926523E-4</v>
      </c>
      <c r="N32" s="5">
        <f>((C6-'2. Statistika Deskriptif'!B$21)^4)*$D24</f>
        <v>0.11528761708909256</v>
      </c>
      <c r="O32" s="5">
        <f>((D6-'2. Statistika Deskriptif'!B$22)^4)*$D24</f>
        <v>8.3614036372485301E-6</v>
      </c>
      <c r="P32" s="5">
        <f>((E6-'2. Statistika Deskriptif'!B$23)^4)*$D24</f>
        <v>9.6468430862941331E-4</v>
      </c>
    </row>
    <row r="33" spans="1:16" x14ac:dyDescent="0.25">
      <c r="A33" s="6" t="s">
        <v>13</v>
      </c>
      <c r="B33" s="5"/>
      <c r="C33" s="5"/>
      <c r="D33" s="5"/>
      <c r="E33" s="5"/>
      <c r="F33" s="5"/>
      <c r="G33" s="5"/>
    </row>
    <row r="34" spans="1:16" x14ac:dyDescent="0.25">
      <c r="A34" s="6" t="s">
        <v>1</v>
      </c>
      <c r="B34" s="6" t="s">
        <v>2</v>
      </c>
      <c r="C34" s="6" t="s">
        <v>3</v>
      </c>
      <c r="D34" s="6" t="s">
        <v>4</v>
      </c>
      <c r="E34" s="6" t="s">
        <v>5</v>
      </c>
      <c r="F34" s="6" t="s">
        <v>61</v>
      </c>
      <c r="G34" s="6" t="s">
        <v>62</v>
      </c>
    </row>
    <row r="35" spans="1:16" x14ac:dyDescent="0.25">
      <c r="A35" s="7" t="s">
        <v>6</v>
      </c>
      <c r="B35" s="7" t="s">
        <v>7</v>
      </c>
      <c r="C35" s="7">
        <f>C9*$D21</f>
        <v>1.4539421206304086</v>
      </c>
      <c r="D35" s="7">
        <f t="shared" ref="D35:G35" si="6">D9*$D21</f>
        <v>3.3523078449352943</v>
      </c>
      <c r="E35" s="7">
        <f t="shared" si="6"/>
        <v>2.2809820718392038</v>
      </c>
      <c r="F35" s="7">
        <f t="shared" si="6"/>
        <v>24.072454665255286</v>
      </c>
      <c r="G35" s="7">
        <f t="shared" si="6"/>
        <v>311233.38149644429</v>
      </c>
      <c r="H35" s="4">
        <f>((C9-'2. Statistika Deskriptif'!B$26)^2)*$D21</f>
        <v>6.9405192499062354</v>
      </c>
      <c r="I35" s="4">
        <f>((D9-'2. Statistika Deskriptif'!B$27)^2)*$D21</f>
        <v>1.1595154987518137</v>
      </c>
      <c r="J35" s="5">
        <f>((E9-'2. Statistika Deskriptif'!B$28)^2)*$D21</f>
        <v>1.1166417744836827</v>
      </c>
      <c r="K35">
        <f>((C9-'2. Statistika Deskriptif'!B$26)^3)*$D21</f>
        <v>-33.703721695336903</v>
      </c>
      <c r="L35">
        <f>((D9-'2. Statistika Deskriptif'!B$27)^3)*$D21</f>
        <v>2.301467001859471</v>
      </c>
      <c r="M35">
        <f>((E9-'2. Statistika Deskriptif'!B$28)^3)*$D21</f>
        <v>-2.1750073156612491</v>
      </c>
      <c r="N35">
        <f>((C9-'2. Statistika Deskriptif'!B$26)^4)*$D21</f>
        <v>163.66799301537412</v>
      </c>
      <c r="O35">
        <f>((D9-'2. Statistika Deskriptif'!B$27)^4)*$D21</f>
        <v>4.5680720666087069</v>
      </c>
      <c r="P35">
        <f>((E9-'2. Statistika Deskriptif'!B$28)^4)*$D21</f>
        <v>4.2365035334338383</v>
      </c>
    </row>
    <row r="36" spans="1:16" x14ac:dyDescent="0.25">
      <c r="A36" s="7" t="s">
        <v>8</v>
      </c>
      <c r="B36" s="7" t="s">
        <v>9</v>
      </c>
      <c r="C36" s="7">
        <f t="shared" ref="C36:G36" si="7">C10*$D22</f>
        <v>5.6953693908456824</v>
      </c>
      <c r="D36" s="7">
        <f t="shared" si="7"/>
        <v>4.132922920790671</v>
      </c>
      <c r="E36" s="7">
        <f t="shared" si="7"/>
        <v>5.8717746374647959</v>
      </c>
      <c r="F36" s="7">
        <f t="shared" si="7"/>
        <v>34.424223840244252</v>
      </c>
      <c r="G36" s="7">
        <f t="shared" si="7"/>
        <v>911470.78883125202</v>
      </c>
      <c r="H36" s="4">
        <f>((C10-'2. Statistika Deskriptif'!B$26)^2)*$D22</f>
        <v>1.1399676025007472</v>
      </c>
      <c r="I36" s="4">
        <f>((D10-'2. Statistika Deskriptif'!B$27)^2)*$D22</f>
        <v>0.7320217878616988</v>
      </c>
      <c r="J36" s="5">
        <f>((E10-'2. Statistika Deskriptif'!B$28)^2)*$D22</f>
        <v>1.9208219175155063</v>
      </c>
      <c r="K36" s="5">
        <f>((C10-'2. Statistika Deskriptif'!B$26)^3)*$D22</f>
        <v>1.7144192594125898</v>
      </c>
      <c r="L36" s="5">
        <f>((D10-'2. Statistika Deskriptif'!B$27)^3)*$D22</f>
        <v>-0.88219437571094161</v>
      </c>
      <c r="M36" s="5">
        <f>((E10-'2. Statistika Deskriptif'!B$28)^3)*$D22</f>
        <v>3.7498071013686456</v>
      </c>
      <c r="N36" s="5">
        <f>((C10-'2. Statistika Deskriptif'!B$26)^4)*$D22</f>
        <v>2.5783481834018929</v>
      </c>
      <c r="O36" s="5">
        <f>((D10-'2. Statistika Deskriptif'!B$27)^4)*$D22</f>
        <v>1.0631745249132614</v>
      </c>
      <c r="P36" s="5">
        <f>((E10-'2. Statistika Deskriptif'!B$28)^4)*$D22</f>
        <v>7.3203315566401077</v>
      </c>
    </row>
    <row r="37" spans="1:16" x14ac:dyDescent="0.25">
      <c r="A37" s="7" t="s">
        <v>8</v>
      </c>
      <c r="B37" s="7" t="s">
        <v>10</v>
      </c>
      <c r="C37" s="7">
        <f t="shared" ref="C37:G37" si="8">C11*$D23</f>
        <v>2.6462498836202033</v>
      </c>
      <c r="D37" s="7">
        <f t="shared" si="8"/>
        <v>1.9186823223202081</v>
      </c>
      <c r="E37" s="7">
        <f t="shared" si="8"/>
        <v>1.5438137173290751</v>
      </c>
      <c r="F37" s="7">
        <f t="shared" si="8"/>
        <v>14.752893486747819</v>
      </c>
      <c r="G37" s="7">
        <f t="shared" si="8"/>
        <v>145735.20874682171</v>
      </c>
      <c r="H37" s="4">
        <f>((C11-'2. Statistika Deskriptif'!B$26)^2)*$D23</f>
        <v>2.2401458127743359</v>
      </c>
      <c r="I37" s="4">
        <f>((D11-'2. Statistika Deskriptif'!B$27)^2)*$D23</f>
        <v>2.6585540942063637E-3</v>
      </c>
      <c r="J37" s="5">
        <f>((E11-'2. Statistika Deskriptif'!B$28)^2)*$D23</f>
        <v>0.83693937549183994</v>
      </c>
      <c r="K37" s="5">
        <f>((C11-'2. Statistika Deskriptif'!B$26)^3)*$D23</f>
        <v>7.4684653219723662</v>
      </c>
      <c r="L37" s="5">
        <f>((D11-'2. Statistika Deskriptif'!B$27)^3)*$D23</f>
        <v>3.0534104614904513E-4</v>
      </c>
      <c r="M37" s="5">
        <f>((E11-'2. Statistika Deskriptif'!B$28)^3)*$D23</f>
        <v>-1.7055244038177808</v>
      </c>
      <c r="N37" s="5">
        <f>((C11-'2. Statistika Deskriptif'!B$26)^4)*$D23</f>
        <v>24.899260551448165</v>
      </c>
      <c r="O37" s="5">
        <f>((D11-'2. Statistika Deskriptif'!B$27)^4)*$D23</f>
        <v>3.5069120717374545E-5</v>
      </c>
      <c r="P37" s="5">
        <f>((E11-'2. Statistika Deskriptif'!B$28)^4)*$D23</f>
        <v>3.4755366723050742</v>
      </c>
    </row>
    <row r="38" spans="1:16" x14ac:dyDescent="0.25">
      <c r="A38" s="7" t="s">
        <v>11</v>
      </c>
      <c r="B38" s="7" t="s">
        <v>12</v>
      </c>
      <c r="C38" s="7">
        <f t="shared" ref="C38:G38" si="9">C12*$D24</f>
        <v>5.1932188928823029E-4</v>
      </c>
      <c r="D38" s="7">
        <f t="shared" si="9"/>
        <v>1.23461430283617E-3</v>
      </c>
      <c r="E38" s="7">
        <f t="shared" si="9"/>
        <v>1.2407383817192859E-3</v>
      </c>
      <c r="F38" s="7">
        <f t="shared" si="9"/>
        <v>8.9778996426479411E-3</v>
      </c>
      <c r="G38" s="7">
        <f t="shared" si="9"/>
        <v>5.3828203751035711E-2</v>
      </c>
      <c r="H38" s="4">
        <f>((C12-'2. Statistika Deskriptif'!B$26)^2)*$D24</f>
        <v>3.7810103362022848E-3</v>
      </c>
      <c r="I38" s="4">
        <f>((D12-'2. Statistika Deskriptif'!B$27)^2)*$D24</f>
        <v>5.5781248891862822E-5</v>
      </c>
      <c r="J38" s="5">
        <f>((E12-'2. Statistika Deskriptif'!B$28)^2)*$D24</f>
        <v>2.2877989606347136E-5</v>
      </c>
      <c r="K38" s="5">
        <f>((C12-'2. Statistika Deskriptif'!B$26)^3)*$D24</f>
        <v>-2.1007598619696685E-2</v>
      </c>
      <c r="L38" s="5">
        <f>((D12-'2. Statistika Deskriptif'!B$27)^3)*$D24</f>
        <v>3.7644103980515347E-5</v>
      </c>
      <c r="M38" s="5">
        <f>((E12-'2. Statistika Deskriptif'!B$28)^3)*$D24</f>
        <v>9.8876116747708269E-6</v>
      </c>
      <c r="N38" s="5">
        <f>((C12-'2. Statistika Deskriptif'!B$26)^4)*$D24</f>
        <v>0.11671991360106967</v>
      </c>
      <c r="O38" s="5">
        <f>((D12-'2. Statistika Deskriptif'!B$27)^4)*$D24</f>
        <v>2.5404210064263547E-5</v>
      </c>
      <c r="P38" s="5">
        <f>((E12-'2. Statistika Deskriptif'!B$28)^4)*$D24</f>
        <v>4.2733153705053287E-6</v>
      </c>
    </row>
    <row r="39" spans="1:16" x14ac:dyDescent="0.25">
      <c r="A39" s="6" t="s">
        <v>14</v>
      </c>
      <c r="B39" s="5"/>
      <c r="C39" s="5"/>
      <c r="D39" s="5"/>
      <c r="E39" s="5"/>
      <c r="F39" s="5"/>
      <c r="G39" s="5"/>
    </row>
    <row r="40" spans="1:16" x14ac:dyDescent="0.25">
      <c r="A40" s="6" t="s">
        <v>1</v>
      </c>
      <c r="B40" s="6" t="s">
        <v>2</v>
      </c>
      <c r="C40" s="6" t="s">
        <v>3</v>
      </c>
      <c r="D40" s="6" t="s">
        <v>4</v>
      </c>
      <c r="E40" s="6" t="s">
        <v>5</v>
      </c>
      <c r="F40" s="6" t="s">
        <v>61</v>
      </c>
      <c r="G40" s="6" t="s">
        <v>62</v>
      </c>
    </row>
    <row r="41" spans="1:16" x14ac:dyDescent="0.25">
      <c r="A41" s="7" t="s">
        <v>6</v>
      </c>
      <c r="B41" s="7" t="s">
        <v>7</v>
      </c>
      <c r="C41" s="7">
        <f>C15*$D21</f>
        <v>1.442169309937045</v>
      </c>
      <c r="D41" s="7">
        <f t="shared" ref="D41:G41" si="10">D15*$D21</f>
        <v>3.3935126823620667</v>
      </c>
      <c r="E41" s="7">
        <f t="shared" si="10"/>
        <v>1.7306031719244537</v>
      </c>
      <c r="F41" s="7">
        <f t="shared" si="10"/>
        <v>24.172523556148874</v>
      </c>
      <c r="G41" s="7">
        <f t="shared" si="10"/>
        <v>310061.10387165262</v>
      </c>
      <c r="H41" s="4">
        <f>((C15-'2. Statistika Deskriptif'!B$31)^2)*$D21</f>
        <v>6.1191052950353031</v>
      </c>
      <c r="I41" s="4">
        <f>((D15-'2. Statistika Deskriptif'!B$32)^2)*$D21</f>
        <v>1.2629855611138749</v>
      </c>
      <c r="J41" s="4">
        <f>((E15-'2. Statistika Deskriptif'!B$33)^2)*$D21</f>
        <v>1.22420614375368</v>
      </c>
      <c r="K41">
        <f>((C15-'2. Statistika Deskriptif'!B$31)^3)*$D21</f>
        <v>-27.901130794096737</v>
      </c>
      <c r="L41">
        <f>((D15-'2. Statistika Deskriptif'!B$32)^3)*$D21</f>
        <v>2.6162997139136346</v>
      </c>
      <c r="M41">
        <f>((E15-'2. Statistika Deskriptif'!B$33)^3)*$D21</f>
        <v>-2.4967309643752547</v>
      </c>
      <c r="N41">
        <f>((C15-'2. Statistika Deskriptif'!B$31)^4)*$D21</f>
        <v>127.22008562606405</v>
      </c>
      <c r="O41">
        <f>((D15-'2. Statistika Deskriptif'!B$32)^4)*$D21</f>
        <v>5.4197169023750993</v>
      </c>
      <c r="P41">
        <f>((E15-'2. Statistika Deskriptif'!B$33)^4)*$D21</f>
        <v>5.0920063914696811</v>
      </c>
    </row>
    <row r="42" spans="1:16" x14ac:dyDescent="0.25">
      <c r="A42" s="7" t="s">
        <v>8</v>
      </c>
      <c r="B42" s="7" t="s">
        <v>9</v>
      </c>
      <c r="C42" s="7">
        <f t="shared" ref="C42:G42" si="11">C16*$D22</f>
        <v>5.4534421954823253</v>
      </c>
      <c r="D42" s="7">
        <f t="shared" si="11"/>
        <v>4.1430032205974783</v>
      </c>
      <c r="E42" s="7">
        <f t="shared" si="11"/>
        <v>4.8536643569773377</v>
      </c>
      <c r="F42" s="7">
        <f t="shared" si="11"/>
        <v>34.797194933096101</v>
      </c>
      <c r="G42" s="7">
        <f t="shared" si="11"/>
        <v>924479.41573193588</v>
      </c>
      <c r="H42" s="4">
        <f>((C16-'2. Statistika Deskriptif'!B$31)^2)*$D22</f>
        <v>0.93267187249890993</v>
      </c>
      <c r="I42" s="4">
        <f>((D16-'2. Statistika Deskriptif'!B$32)^2)*$D22</f>
        <v>0.77307481279710433</v>
      </c>
      <c r="J42" s="4">
        <f>((E16-'2. Statistika Deskriptif'!B$33)^2)*$D22</f>
        <v>1.4747049941495245</v>
      </c>
      <c r="K42" s="5">
        <f>((C16-'2. Statistika Deskriptif'!B$31)^3)*$D22</f>
        <v>1.2687369628171024</v>
      </c>
      <c r="L42" s="5">
        <f>((D16-'2. Statistika Deskriptif'!B$32)^3)*$D22</f>
        <v>-0.957437777181394</v>
      </c>
      <c r="M42" s="5">
        <f>((E16-'2. Statistika Deskriptif'!B$33)^3)*$D22</f>
        <v>2.5225280246120163</v>
      </c>
      <c r="N42" s="5">
        <f>((C16-'2. Statistika Deskriptif'!B$31)^4)*$D22</f>
        <v>1.7258947420656205</v>
      </c>
      <c r="O42" s="5">
        <f>((D16-'2. Statistika Deskriptif'!B$32)^4)*$D22</f>
        <v>1.1857676411126792</v>
      </c>
      <c r="P42" s="5">
        <f>((E16-'2. Statistika Deskriptif'!B$33)^4)*$D22</f>
        <v>4.3148613859700697</v>
      </c>
    </row>
    <row r="43" spans="1:16" x14ac:dyDescent="0.25">
      <c r="A43" s="7" t="s">
        <v>8</v>
      </c>
      <c r="B43" s="7" t="s">
        <v>10</v>
      </c>
      <c r="C43" s="7">
        <f t="shared" ref="C43:G43" si="12">C17*$D23</f>
        <v>2.5636175567135555</v>
      </c>
      <c r="D43" s="7">
        <f t="shared" si="12"/>
        <v>1.9206977449276874</v>
      </c>
      <c r="E43" s="7">
        <f t="shared" si="12"/>
        <v>1.3342097661512373</v>
      </c>
      <c r="F43" s="7">
        <f t="shared" si="12"/>
        <v>14.87986511101901</v>
      </c>
      <c r="G43" s="7">
        <f t="shared" si="12"/>
        <v>147625.67515263721</v>
      </c>
      <c r="H43" s="4">
        <f>((C17-'2. Statistika Deskriptif'!B$31)^2)*$D23</f>
        <v>2.1423377575532494</v>
      </c>
      <c r="I43" s="4">
        <f>((D17-'2. Statistika Deskriptif'!B$32)^2)*$D23</f>
        <v>1.0309078177938129E-3</v>
      </c>
      <c r="J43" s="4">
        <f>((E17-'2. Statistika Deskriptif'!B$33)^2)*$D23</f>
        <v>0.34032843558109088</v>
      </c>
      <c r="K43" s="5">
        <f>((C17-'2. Statistika Deskriptif'!B$31)^3)*$D23</f>
        <v>6.984717574178271</v>
      </c>
      <c r="L43" s="5">
        <f>((D17-'2. Statistika Deskriptif'!B$32)^3)*$D23</f>
        <v>7.3730416408844228E-5</v>
      </c>
      <c r="M43" s="5">
        <f>((E17-'2. Statistika Deskriptif'!B$33)^3)*$D23</f>
        <v>-0.44224638656904169</v>
      </c>
      <c r="N43" s="5">
        <f>((C17-'2. Statistika Deskriptif'!B$31)^4)*$D23</f>
        <v>22.772450057899967</v>
      </c>
      <c r="O43" s="5">
        <f>((D17-'2. Statistika Deskriptif'!B$32)^4)*$D23</f>
        <v>5.2731914628945332E-6</v>
      </c>
      <c r="P43" s="5">
        <f>((E17-'2. Statistika Deskriptif'!B$33)^4)*$D23</f>
        <v>0.57468564476379913</v>
      </c>
    </row>
    <row r="44" spans="1:16" x14ac:dyDescent="0.25">
      <c r="A44" s="7" t="s">
        <v>11</v>
      </c>
      <c r="B44" s="7" t="s">
        <v>12</v>
      </c>
      <c r="C44" s="7">
        <f t="shared" ref="C44:G44" si="13">C18*$D24</f>
        <v>4.4583294269083914E-4</v>
      </c>
      <c r="D44" s="7">
        <f t="shared" si="13"/>
        <v>1.2664595130283728E-3</v>
      </c>
      <c r="E44" s="7">
        <f t="shared" si="13"/>
        <v>9.9210077906477937E-4</v>
      </c>
      <c r="F44" s="7">
        <f t="shared" si="13"/>
        <v>9.0575126681284486E-3</v>
      </c>
      <c r="G44" s="7">
        <f t="shared" si="13"/>
        <v>5.451165095439145E-2</v>
      </c>
      <c r="H44" s="4">
        <f>((C18-'2. Statistika Deskriptif'!B$31)^2)*$D24</f>
        <v>4.1482815067571078E-3</v>
      </c>
      <c r="I44" s="4">
        <f>((D18-'2. Statistika Deskriptif'!B$32)^2)*$D24</f>
        <v>9.5177656247696227E-5</v>
      </c>
      <c r="J44" s="4">
        <f>((E18-'2. Statistika Deskriptif'!B$33)^2)*$D24</f>
        <v>3.9918337246341545E-6</v>
      </c>
      <c r="K44" s="5">
        <f>((C18-'2. Statistika Deskriptif'!B$31)^3)*$D24</f>
        <v>-2.4141649742580786E-2</v>
      </c>
      <c r="L44" s="5">
        <f>((D18-'2. Statistika Deskriptif'!B$32)^3)*$D24</f>
        <v>8.3900997313364047E-5</v>
      </c>
      <c r="M44" s="5">
        <f>((E18-'2. Statistika Deskriptif'!B$33)^3)*$D24</f>
        <v>7.2064815404602641E-7</v>
      </c>
      <c r="N44" s="5">
        <f>((C18-'2. Statistika Deskriptif'!B$31)^4)*$D24</f>
        <v>0.14049655293260607</v>
      </c>
      <c r="O44" s="5">
        <f>((D18-'2. Statistika Deskriptif'!B$32)^4)*$D24</f>
        <v>7.3960398140687658E-5</v>
      </c>
      <c r="P44" s="5">
        <f>((E18-'2. Statistika Deskriptif'!B$33)^4)*$D24</f>
        <v>1.3009904664241537E-7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activeCell="J32" sqref="J32"/>
    </sheetView>
  </sheetViews>
  <sheetFormatPr defaultRowHeight="15" x14ac:dyDescent="0.25"/>
  <cols>
    <col min="1" max="1" width="52.42578125" bestFit="1" customWidth="1"/>
    <col min="2" max="2" width="16.140625" bestFit="1" customWidth="1"/>
    <col min="3" max="3" width="22.85546875" bestFit="1" customWidth="1"/>
    <col min="4" max="4" width="11.5703125" bestFit="1" customWidth="1"/>
    <col min="5" max="7" width="11.5703125" customWidth="1"/>
    <col min="8" max="8" width="11.85546875" bestFit="1" customWidth="1"/>
    <col min="9" max="10" width="11.85546875" customWidth="1"/>
    <col min="11" max="11" width="12.42578125" bestFit="1" customWidth="1"/>
  </cols>
  <sheetData>
    <row r="1" spans="1:11" x14ac:dyDescent="0.25">
      <c r="A1" s="1" t="s">
        <v>70</v>
      </c>
    </row>
    <row r="2" spans="1:11" x14ac:dyDescent="0.25">
      <c r="A2" s="1" t="s">
        <v>0</v>
      </c>
    </row>
    <row r="3" spans="1:11" x14ac:dyDescent="0.25">
      <c r="A3" s="1" t="s">
        <v>15</v>
      </c>
      <c r="B3" s="1" t="s">
        <v>63</v>
      </c>
      <c r="C3" s="1" t="s">
        <v>64</v>
      </c>
      <c r="D3" s="1" t="s">
        <v>65</v>
      </c>
      <c r="E3" s="1" t="s">
        <v>67</v>
      </c>
      <c r="F3" s="1" t="s">
        <v>68</v>
      </c>
      <c r="G3" s="1" t="s">
        <v>69</v>
      </c>
      <c r="H3" s="1" t="s">
        <v>66</v>
      </c>
      <c r="I3" s="1" t="s">
        <v>71</v>
      </c>
      <c r="J3" s="1" t="s">
        <v>72</v>
      </c>
      <c r="K3" s="1" t="s">
        <v>73</v>
      </c>
    </row>
    <row r="4" spans="1:11" x14ac:dyDescent="0.25">
      <c r="A4" s="2" t="s">
        <v>3</v>
      </c>
      <c r="B4" s="2">
        <f>AVERAGE('1. Data Original'!C3:C6)</f>
        <v>7.915</v>
      </c>
      <c r="C4" s="2">
        <f>_xlfn.STDEV.P('1. Data Original'!C3:C6)</f>
        <v>3.925184709029629</v>
      </c>
      <c r="D4" s="2">
        <f>MIN('1. Data Original'!C3:C6)</f>
        <v>3.69</v>
      </c>
      <c r="E4" s="2">
        <f>_xlfn.QUARTILE.INC('1. Data Original'!C3:C6,1)</f>
        <v>4.3049999999999997</v>
      </c>
      <c r="F4" s="2">
        <f>_xlfn.QUARTILE.INC('1. Data Original'!C3:C6,2)</f>
        <v>7.5</v>
      </c>
      <c r="G4" s="2">
        <f>_xlfn.QUARTILE.INC('1. Data Original'!C3:C6,3)</f>
        <v>11.11</v>
      </c>
      <c r="H4" s="2">
        <f>MAX('1. Data Original'!C3:C6)</f>
        <v>12.97</v>
      </c>
      <c r="I4" s="2">
        <f>((1/4)*SUM('1. Data Original'!H3:H6))/(C4^3)</f>
        <v>0.12958882227107829</v>
      </c>
      <c r="J4" s="2">
        <f>((1/4)*SUM('1. Data Original'!K3:K6))/(C4^4)-3</f>
        <v>-1.7888634407518074</v>
      </c>
      <c r="K4" s="2">
        <f>C4/B4*100</f>
        <v>49.591720897405295</v>
      </c>
    </row>
    <row r="5" spans="1:11" x14ac:dyDescent="0.25">
      <c r="A5" s="2" t="s">
        <v>4</v>
      </c>
      <c r="B5" s="2">
        <f>AVERAGE('1. Data Original'!D3:D6)</f>
        <v>9.692499999999999</v>
      </c>
      <c r="C5" s="2">
        <f>_xlfn.STDEV.P('1. Data Original'!D3:D6)</f>
        <v>1.1476143733850805</v>
      </c>
      <c r="D5" s="2">
        <f>MIN('1. Data Original'!D3:D6)</f>
        <v>8.19</v>
      </c>
      <c r="E5" s="2">
        <f>_xlfn.QUARTILE.INC('1. Data Original'!D3:D6,1)</f>
        <v>9.0449999999999999</v>
      </c>
      <c r="F5" s="2">
        <f>_xlfn.QUARTILE.INC('1. Data Original'!D3:D6,2)</f>
        <v>9.6</v>
      </c>
      <c r="G5" s="2">
        <f>_xlfn.QUARTILE.INC('1. Data Original'!D3:D6,3)</f>
        <v>10.247499999999999</v>
      </c>
      <c r="H5" s="2">
        <f>MAX('1. Data Original'!D3:D6)</f>
        <v>11.38</v>
      </c>
      <c r="I5" s="2">
        <f>((1/4)*SUM('1. Data Original'!I3:I6))/(C5^3)</f>
        <v>0.22685051488378483</v>
      </c>
      <c r="J5" s="2">
        <f>((1/4)*SUM('1. Data Original'!L3:L6))/(C5^4)-3</f>
        <v>-1.0940547459344681</v>
      </c>
      <c r="K5" s="2">
        <f>C5/B5*100</f>
        <v>11.840230831932738</v>
      </c>
    </row>
    <row r="6" spans="1:11" x14ac:dyDescent="0.25">
      <c r="A6" s="2" t="s">
        <v>5</v>
      </c>
      <c r="B6" s="2">
        <f>AVERAGE('1. Data Original'!E3:E6)</f>
        <v>10.975</v>
      </c>
      <c r="C6" s="2">
        <f>_xlfn.STDEV.P('1. Data Original'!E3:E6)</f>
        <v>1.8355584981144066</v>
      </c>
      <c r="D6" s="2">
        <f>MIN('1. Data Original'!E3:E6)</f>
        <v>7.99</v>
      </c>
      <c r="E6" s="2">
        <f>_xlfn.QUARTILE.INC('1. Data Original'!E3:E6,1)</f>
        <v>10.225000000000001</v>
      </c>
      <c r="F6" s="2">
        <f>_xlfn.QUARTILE.INC('1. Data Original'!E3:E6,2)</f>
        <v>11.61</v>
      </c>
      <c r="G6" s="2">
        <f>_xlfn.QUARTILE.INC('1. Data Original'!E3:E6,3)</f>
        <v>12.36</v>
      </c>
      <c r="H6" s="2">
        <f>MAX('1. Data Original'!E3:E6)</f>
        <v>12.69</v>
      </c>
      <c r="I6" s="2">
        <f>((1/4)*SUM('1. Data Original'!J3:J6))/(C6^3)</f>
        <v>-0.78745835234104744</v>
      </c>
      <c r="J6" s="2">
        <f>((1/4)*SUM('1. Data Original'!M3:M6))/(C6^4)-3</f>
        <v>-1.0028748535767802</v>
      </c>
      <c r="K6" s="2">
        <f>C6/B6*100</f>
        <v>16.724906588741746</v>
      </c>
    </row>
    <row r="7" spans="1:11" x14ac:dyDescent="0.25">
      <c r="A7" s="1" t="s">
        <v>13</v>
      </c>
    </row>
    <row r="8" spans="1:11" x14ac:dyDescent="0.25">
      <c r="A8" s="1" t="s">
        <v>15</v>
      </c>
      <c r="B8" s="1" t="s">
        <v>63</v>
      </c>
      <c r="C8" s="1" t="s">
        <v>64</v>
      </c>
      <c r="D8" s="1" t="s">
        <v>65</v>
      </c>
      <c r="E8" s="1" t="s">
        <v>67</v>
      </c>
      <c r="F8" s="1" t="s">
        <v>68</v>
      </c>
      <c r="G8" s="1" t="s">
        <v>69</v>
      </c>
      <c r="H8" s="1" t="s">
        <v>66</v>
      </c>
      <c r="I8" s="6" t="s">
        <v>71</v>
      </c>
      <c r="J8" s="6" t="s">
        <v>72</v>
      </c>
      <c r="K8" s="6" t="s">
        <v>73</v>
      </c>
    </row>
    <row r="9" spans="1:11" x14ac:dyDescent="0.25">
      <c r="A9" s="2" t="s">
        <v>3</v>
      </c>
      <c r="B9" s="2">
        <f>AVERAGE('1. Data Original'!C9:C12)</f>
        <v>8.4025000000000016</v>
      </c>
      <c r="C9" s="2">
        <f>_xlfn.STDEV.P('1. Data Original'!C9:C12)</f>
        <v>3.8749217734039441</v>
      </c>
      <c r="D9" s="2">
        <f>MIN('1. Data Original'!C9:C12)</f>
        <v>4.24</v>
      </c>
      <c r="E9" s="2">
        <f>_xlfn.QUARTILE.INC('1. Data Original'!C9:C12,1)</f>
        <v>4.7650000000000006</v>
      </c>
      <c r="F9" s="2">
        <f>_xlfn.QUARTILE.INC('1. Data Original'!C9:C12,2)</f>
        <v>8.120000000000001</v>
      </c>
      <c r="G9" s="2">
        <f>_xlfn.QUARTILE.INC('1. Data Original'!C9:C12,3)</f>
        <v>11.7575</v>
      </c>
      <c r="H9" s="2">
        <f>MAX('1. Data Original'!C9:C12)</f>
        <v>13.13</v>
      </c>
      <c r="I9" s="7">
        <f>((1/4)*SUM('1. Data Original'!H9:H12))/(C9^3)</f>
        <v>7.0250798738267298E-2</v>
      </c>
      <c r="J9" s="7">
        <f>((1/4)*SUM('1. Data Original'!K9:K12))/(C9^4)-3</f>
        <v>-1.8756836742009684</v>
      </c>
      <c r="K9" s="2">
        <f>C9/B9*100</f>
        <v>46.116296023849365</v>
      </c>
    </row>
    <row r="10" spans="1:11" x14ac:dyDescent="0.25">
      <c r="A10" s="2" t="s">
        <v>4</v>
      </c>
      <c r="B10" s="2">
        <f>AVERAGE('1. Data Original'!D9:D12)</f>
        <v>9.7974999999999994</v>
      </c>
      <c r="C10" s="2">
        <f>_xlfn.STDEV.P('1. Data Original'!D9:D12)</f>
        <v>1.145084603861227</v>
      </c>
      <c r="D10" s="2">
        <f>MIN('1. Data Original'!D9:D12)</f>
        <v>8.1999999999999993</v>
      </c>
      <c r="E10" s="2">
        <f>_xlfn.QUARTILE.INC('1. Data Original'!D9:D12,1)</f>
        <v>9.19</v>
      </c>
      <c r="F10" s="2">
        <f>_xlfn.QUARTILE.INC('1. Data Original'!D9:D12,2)</f>
        <v>9.8000000000000007</v>
      </c>
      <c r="G10" s="2">
        <f>_xlfn.QUARTILE.INC('1. Data Original'!D9:D12,3)</f>
        <v>10.407500000000001</v>
      </c>
      <c r="H10" s="2">
        <f>MAX('1. Data Original'!D9:D12)</f>
        <v>11.39</v>
      </c>
      <c r="I10" s="7">
        <f>((1/4)*SUM('1. Data Original'!I9:I12))/(C10^3)</f>
        <v>-6.1580833995721817E-3</v>
      </c>
      <c r="J10" s="7">
        <f>((1/4)*SUM('1. Data Original'!L9:L12))/(C10^4)-3</f>
        <v>-1.1159982522379579</v>
      </c>
      <c r="K10" s="2">
        <f>C10/B10*100</f>
        <v>11.687518283860445</v>
      </c>
    </row>
    <row r="11" spans="1:11" x14ac:dyDescent="0.25">
      <c r="A11" s="2" t="s">
        <v>5</v>
      </c>
      <c r="B11" s="2">
        <f>AVERAGE('1. Data Original'!E9:E12)</f>
        <v>9.2974999999999994</v>
      </c>
      <c r="C11" s="2">
        <f>_xlfn.STDEV.P('1. Data Original'!E9:E12)</f>
        <v>1.68103204906986</v>
      </c>
      <c r="D11" s="2">
        <f>MIN('1. Data Original'!E9:E12)</f>
        <v>7.66</v>
      </c>
      <c r="E11" s="2">
        <f>_xlfn.QUARTILE.INC('1. Data Original'!E9:E12,1)</f>
        <v>7.7275</v>
      </c>
      <c r="F11" s="2">
        <f>_xlfn.QUARTILE.INC('1. Data Original'!E9:E12,2)</f>
        <v>8.9400000000000013</v>
      </c>
      <c r="G11" s="2">
        <f>_xlfn.QUARTILE.INC('1. Data Original'!E9:E12,3)</f>
        <v>10.510000000000002</v>
      </c>
      <c r="H11" s="2">
        <f>MAX('1. Data Original'!E9:E12)</f>
        <v>11.65</v>
      </c>
      <c r="I11" s="7">
        <f>((1/4)*SUM('1. Data Original'!J9:J12))/(C11^3)</f>
        <v>0.28943073137805847</v>
      </c>
      <c r="J11" s="7">
        <f>((1/4)*SUM('1. Data Original'!M9:M12))/(C11^4)-3</f>
        <v>-1.6214724299958387</v>
      </c>
      <c r="K11" s="2">
        <f>C11/B11*100</f>
        <v>18.080473773270882</v>
      </c>
    </row>
    <row r="12" spans="1:11" x14ac:dyDescent="0.25">
      <c r="A12" s="1" t="s">
        <v>14</v>
      </c>
    </row>
    <row r="13" spans="1:11" x14ac:dyDescent="0.25">
      <c r="A13" s="1" t="s">
        <v>15</v>
      </c>
      <c r="B13" s="1" t="s">
        <v>63</v>
      </c>
      <c r="C13" s="1" t="s">
        <v>64</v>
      </c>
      <c r="D13" s="1" t="s">
        <v>65</v>
      </c>
      <c r="E13" s="1" t="s">
        <v>67</v>
      </c>
      <c r="F13" s="1" t="s">
        <v>68</v>
      </c>
      <c r="G13" s="1" t="s">
        <v>69</v>
      </c>
      <c r="H13" s="1" t="s">
        <v>66</v>
      </c>
      <c r="I13" s="6" t="s">
        <v>71</v>
      </c>
      <c r="J13" s="6" t="s">
        <v>72</v>
      </c>
      <c r="K13" s="6" t="s">
        <v>73</v>
      </c>
    </row>
    <row r="14" spans="1:11" x14ac:dyDescent="0.25">
      <c r="A14" s="2" t="s">
        <v>3</v>
      </c>
      <c r="B14" s="2">
        <f>AVERAGE('1. Data Original'!C15:C18)</f>
        <v>8.02</v>
      </c>
      <c r="C14" s="2">
        <f>_xlfn.STDEV.P('1. Data Original'!C15:C18)</f>
        <v>3.8356485761863026</v>
      </c>
      <c r="D14" s="2">
        <f>MIN('1. Data Original'!C15:C18)</f>
        <v>3.64</v>
      </c>
      <c r="E14" s="2">
        <f>_xlfn.QUARTILE.INC('1. Data Original'!C15:C18,1)</f>
        <v>4.585</v>
      </c>
      <c r="F14" s="2">
        <f>_xlfn.QUARTILE.INC('1. Data Original'!C15:C18,2)</f>
        <v>7.86</v>
      </c>
      <c r="G14" s="2">
        <f>_xlfn.QUARTILE.INC('1. Data Original'!C15:C18,3)</f>
        <v>11.295</v>
      </c>
      <c r="H14" s="2">
        <f>MAX('1. Data Original'!C15:C18)</f>
        <v>12.72</v>
      </c>
      <c r="I14" s="7">
        <f>((1/4)*SUM('1. Data Original'!H15:H18))/(C14^3)</f>
        <v>5.0397983713451562E-2</v>
      </c>
      <c r="J14" s="7">
        <f>((1/4)*SUM('1. Data Original'!K15:K18))/(C14^4)-3</f>
        <v>-1.8308628739818147</v>
      </c>
      <c r="K14" s="2">
        <f>C14/B14*100</f>
        <v>47.826042097086066</v>
      </c>
    </row>
    <row r="15" spans="1:11" x14ac:dyDescent="0.25">
      <c r="A15" s="2" t="s">
        <v>4</v>
      </c>
      <c r="B15" s="2">
        <f>AVERAGE('1. Data Original'!D15:D18)</f>
        <v>9.9050000000000011</v>
      </c>
      <c r="C15" s="2">
        <f>_xlfn.STDEV.P('1. Data Original'!D15:D18)</f>
        <v>1.2051659636747034</v>
      </c>
      <c r="D15" s="2">
        <f>MIN('1. Data Original'!D15:D18)</f>
        <v>8.2200000000000006</v>
      </c>
      <c r="E15" s="2">
        <f>_xlfn.QUARTILE.INC('1. Data Original'!D15:D18,1)</f>
        <v>9.2025000000000006</v>
      </c>
      <c r="F15" s="2">
        <f>_xlfn.QUARTILE.INC('1. Data Original'!D15:D18,2)</f>
        <v>9.9349999999999987</v>
      </c>
      <c r="G15" s="2">
        <f>_xlfn.QUARTILE.INC('1. Data Original'!D15:D18,3)</f>
        <v>10.637499999999999</v>
      </c>
      <c r="H15" s="2">
        <f>MAX('1. Data Original'!D15:D18)</f>
        <v>11.53</v>
      </c>
      <c r="I15" s="7">
        <f>((1/4)*SUM('1. Data Original'!I15:I18))/(C15^3)</f>
        <v>-6.6198656219491364E-2</v>
      </c>
      <c r="J15" s="7">
        <f>((1/4)*SUM('1. Data Original'!L15:L18))/(C15^4)-3</f>
        <v>-1.2117319337382952</v>
      </c>
      <c r="K15" s="2">
        <f>C15/B15*100</f>
        <v>12.167248497473027</v>
      </c>
    </row>
    <row r="16" spans="1:11" x14ac:dyDescent="0.25">
      <c r="A16" s="2" t="s">
        <v>5</v>
      </c>
      <c r="B16" s="2">
        <f>AVERAGE('1. Data Original'!E15:E18)</f>
        <v>7.557500000000001</v>
      </c>
      <c r="C16" s="2">
        <f>_xlfn.STDEV.P('1. Data Original'!E15:E18)</f>
        <v>1.4389644714168544</v>
      </c>
      <c r="D16" s="2">
        <f>MIN('1. Data Original'!E15:E18)</f>
        <v>5.88</v>
      </c>
      <c r="E16" s="2">
        <f>_xlfn.QUARTILE.INC('1. Data Original'!E15:E18,1)</f>
        <v>6.4350000000000005</v>
      </c>
      <c r="F16" s="2">
        <f>_xlfn.QUARTILE.INC('1. Data Original'!E15:E18,2)</f>
        <v>7.3599999999999994</v>
      </c>
      <c r="G16" s="2">
        <f>_xlfn.QUARTILE.INC('1. Data Original'!E15:E18,3)</f>
        <v>8.4824999999999999</v>
      </c>
      <c r="H16" s="2">
        <f>MAX('1. Data Original'!E15:E18)</f>
        <v>9.6300000000000008</v>
      </c>
      <c r="I16" s="7">
        <f>((1/4)*SUM('1. Data Original'!J15:J18))/(C16^3)</f>
        <v>0.29510441044055769</v>
      </c>
      <c r="J16" s="7">
        <f>((1/4)*SUM('1. Data Original'!M15:M18))/(C16^4)-3</f>
        <v>-1.4124086847054669</v>
      </c>
      <c r="K16" s="2">
        <f>C16/B16*100</f>
        <v>19.040217947957053</v>
      </c>
    </row>
    <row r="18" spans="1:11" x14ac:dyDescent="0.25">
      <c r="A18" s="6" t="s">
        <v>74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6" t="s">
        <v>0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6" t="s">
        <v>15</v>
      </c>
      <c r="B20" s="6" t="s">
        <v>63</v>
      </c>
      <c r="C20" s="6" t="s">
        <v>64</v>
      </c>
      <c r="D20" s="6" t="s">
        <v>65</v>
      </c>
      <c r="E20" s="6" t="s">
        <v>67</v>
      </c>
      <c r="F20" s="6" t="s">
        <v>68</v>
      </c>
      <c r="G20" s="6" t="s">
        <v>69</v>
      </c>
      <c r="H20" s="6" t="s">
        <v>66</v>
      </c>
      <c r="I20" s="6" t="s">
        <v>71</v>
      </c>
      <c r="J20" s="6" t="s">
        <v>72</v>
      </c>
      <c r="K20" s="6" t="s">
        <v>73</v>
      </c>
    </row>
    <row r="21" spans="1:11" x14ac:dyDescent="0.25">
      <c r="A21" s="7" t="s">
        <v>3</v>
      </c>
      <c r="B21" s="7">
        <f>SUM('1. Data Original'!C29:C32)</f>
        <v>9.2289567332688769</v>
      </c>
      <c r="C21" s="7">
        <f>SQRT(SUM('1. Data Original'!H29:H32))</f>
        <v>3.1906127054315507</v>
      </c>
      <c r="D21" s="7">
        <f>D4</f>
        <v>3.69</v>
      </c>
      <c r="E21" s="7">
        <f t="shared" ref="E21:H21" si="0">E4</f>
        <v>4.3049999999999997</v>
      </c>
      <c r="F21" s="7">
        <f t="shared" si="0"/>
        <v>7.5</v>
      </c>
      <c r="G21" s="7">
        <f t="shared" si="0"/>
        <v>11.11</v>
      </c>
      <c r="H21" s="7">
        <f t="shared" si="0"/>
        <v>12.97</v>
      </c>
      <c r="I21" s="7">
        <f>(SUM('1. Data Original'!K29:K32))/(C21^3)</f>
        <v>-0.59686044653529424</v>
      </c>
      <c r="J21" s="7">
        <f>(SUM('1. Data Original'!N29:N32))/(C21^4)-3</f>
        <v>-1.1973216560923112</v>
      </c>
      <c r="K21" s="7">
        <f>C21/B21*100</f>
        <v>34.571759275129274</v>
      </c>
    </row>
    <row r="22" spans="1:11" x14ac:dyDescent="0.25">
      <c r="A22" s="7" t="s">
        <v>4</v>
      </c>
      <c r="B22" s="7">
        <f>SUM('1. Data Original'!D29:D32)</f>
        <v>9.3588455990988528</v>
      </c>
      <c r="C22" s="7">
        <f>SQRT(SUM('1. Data Original'!I29:I32))</f>
        <v>1.3751736079340964</v>
      </c>
      <c r="D22" s="7">
        <f t="shared" ref="D22:H22" si="1">D5</f>
        <v>8.19</v>
      </c>
      <c r="E22" s="7">
        <f t="shared" si="1"/>
        <v>9.0449999999999999</v>
      </c>
      <c r="F22" s="7">
        <f t="shared" si="1"/>
        <v>9.6</v>
      </c>
      <c r="G22" s="7">
        <f t="shared" si="1"/>
        <v>10.247499999999999</v>
      </c>
      <c r="H22" s="7">
        <f t="shared" si="1"/>
        <v>11.38</v>
      </c>
      <c r="I22" s="7">
        <f>(SUM('1. Data Original'!L29:L32))/(C22^3)</f>
        <v>0.6249459661916813</v>
      </c>
      <c r="J22" s="7">
        <f>(SUM('1. Data Original'!O29:O32))/(C22^4)-3</f>
        <v>-1.3635739661742687</v>
      </c>
      <c r="K22" s="7">
        <f>C22/B22*100</f>
        <v>14.693837967222256</v>
      </c>
    </row>
    <row r="23" spans="1:11" x14ac:dyDescent="0.25">
      <c r="A23" s="7" t="s">
        <v>5</v>
      </c>
      <c r="B23" s="7">
        <f>SUM('1. Data Original'!E29:E32)</f>
        <v>11.014753918920391</v>
      </c>
      <c r="C23" s="7">
        <f>SQRT(SUM('1. Data Original'!J29:J32))</f>
        <v>1.6167601828224403</v>
      </c>
      <c r="D23" s="7">
        <f t="shared" ref="D23:H23" si="2">D6</f>
        <v>7.99</v>
      </c>
      <c r="E23" s="7">
        <f t="shared" si="2"/>
        <v>10.225000000000001</v>
      </c>
      <c r="F23" s="7">
        <f t="shared" si="2"/>
        <v>11.61</v>
      </c>
      <c r="G23" s="7">
        <f t="shared" si="2"/>
        <v>12.36</v>
      </c>
      <c r="H23" s="7">
        <f t="shared" si="2"/>
        <v>12.69</v>
      </c>
      <c r="I23" s="7">
        <f>(SUM('1. Data Original'!M29:M32))/(C23^3)</f>
        <v>-1.0948587599659791</v>
      </c>
      <c r="J23" s="7">
        <f>(SUM('1. Data Original'!P29:P32))/(C23^4)-3</f>
        <v>-0.35898757658715086</v>
      </c>
      <c r="K23" s="7">
        <f>C23/B23*100</f>
        <v>14.678132573123401</v>
      </c>
    </row>
    <row r="24" spans="1:11" x14ac:dyDescent="0.25">
      <c r="A24" s="6" t="s">
        <v>13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6" t="s">
        <v>15</v>
      </c>
      <c r="B25" s="6" t="s">
        <v>63</v>
      </c>
      <c r="C25" s="6" t="s">
        <v>64</v>
      </c>
      <c r="D25" s="6" t="s">
        <v>65</v>
      </c>
      <c r="E25" s="6" t="s">
        <v>67</v>
      </c>
      <c r="F25" s="6" t="s">
        <v>68</v>
      </c>
      <c r="G25" s="6" t="s">
        <v>69</v>
      </c>
      <c r="H25" s="6" t="s">
        <v>66</v>
      </c>
      <c r="I25" s="6" t="s">
        <v>71</v>
      </c>
      <c r="J25" s="6" t="s">
        <v>72</v>
      </c>
      <c r="K25" s="6" t="s">
        <v>73</v>
      </c>
    </row>
    <row r="26" spans="1:11" x14ac:dyDescent="0.25">
      <c r="A26" s="7" t="s">
        <v>3</v>
      </c>
      <c r="B26" s="7">
        <f>SUM('1. Data Original'!C35:C38)</f>
        <v>9.7960807169855819</v>
      </c>
      <c r="C26" s="7">
        <f>SQRT(SUM('1. Data Original'!H35:H38))</f>
        <v>3.2131625659959258</v>
      </c>
      <c r="D26" s="7">
        <f>D9</f>
        <v>4.24</v>
      </c>
      <c r="E26" s="7">
        <f t="shared" ref="E26:H26" si="3">E9</f>
        <v>4.7650000000000006</v>
      </c>
      <c r="F26" s="7">
        <f t="shared" si="3"/>
        <v>8.120000000000001</v>
      </c>
      <c r="G26" s="7">
        <f t="shared" si="3"/>
        <v>11.7575</v>
      </c>
      <c r="H26" s="7">
        <f t="shared" si="3"/>
        <v>13.13</v>
      </c>
      <c r="I26" s="7">
        <f>(SUM('1. Data Original'!K35:K38))/(C26^3)</f>
        <v>-0.73979110925758917</v>
      </c>
      <c r="J26" s="7">
        <f>(SUM('1. Data Original'!N35:N38))/(C26^4)-3</f>
        <v>-1.2056852450954711</v>
      </c>
      <c r="K26" s="7">
        <f>C26/B26*100</f>
        <v>32.800490919032256</v>
      </c>
    </row>
    <row r="27" spans="1:11" x14ac:dyDescent="0.25">
      <c r="A27" s="7" t="s">
        <v>4</v>
      </c>
      <c r="B27" s="7">
        <f>SUM('1. Data Original'!D35:D38)</f>
        <v>9.4051477023490104</v>
      </c>
      <c r="C27" s="7">
        <f>SQRT(SUM('1. Data Original'!I35:I38))</f>
        <v>1.3763181398051145</v>
      </c>
      <c r="D27" s="7">
        <f t="shared" ref="D27:H27" si="4">D10</f>
        <v>8.1999999999999993</v>
      </c>
      <c r="E27" s="7">
        <f t="shared" si="4"/>
        <v>9.19</v>
      </c>
      <c r="F27" s="7">
        <f t="shared" si="4"/>
        <v>9.8000000000000007</v>
      </c>
      <c r="G27" s="7">
        <f t="shared" si="4"/>
        <v>10.407500000000001</v>
      </c>
      <c r="H27" s="7">
        <f t="shared" si="4"/>
        <v>11.39</v>
      </c>
      <c r="I27" s="7">
        <f>(SUM('1. Data Original'!L35:L38))/(C27^3)</f>
        <v>0.5445205379398339</v>
      </c>
      <c r="J27" s="7">
        <f>(SUM('1. Data Original'!O35:O38))/(C27^4)-3</f>
        <v>-1.4305991853999025</v>
      </c>
      <c r="K27" s="7">
        <f>C27/B27*100</f>
        <v>14.633668533045666</v>
      </c>
    </row>
    <row r="28" spans="1:11" x14ac:dyDescent="0.25">
      <c r="A28" s="7" t="s">
        <v>5</v>
      </c>
      <c r="B28" s="7">
        <f>SUM('1. Data Original'!E35:E38)</f>
        <v>9.6978111650147945</v>
      </c>
      <c r="C28" s="7">
        <f>SQRT(SUM('1. Data Original'!J35:J38))</f>
        <v>1.968356153108638</v>
      </c>
      <c r="D28" s="7">
        <f t="shared" ref="D28:H28" si="5">D11</f>
        <v>7.66</v>
      </c>
      <c r="E28" s="7">
        <f t="shared" si="5"/>
        <v>7.7275</v>
      </c>
      <c r="F28" s="7">
        <f t="shared" si="5"/>
        <v>8.9400000000000013</v>
      </c>
      <c r="G28" s="7">
        <f t="shared" si="5"/>
        <v>10.510000000000002</v>
      </c>
      <c r="H28" s="7">
        <f t="shared" si="5"/>
        <v>11.65</v>
      </c>
      <c r="I28" s="7">
        <f>(SUM('1. Data Original'!M35:M38))/(C28^3)</f>
        <v>-1.7140105285742942E-2</v>
      </c>
      <c r="J28" s="7">
        <f>(SUM('1. Data Original'!P35:P38))/(C28^4)-3</f>
        <v>-1.998587743684701</v>
      </c>
      <c r="K28" s="7">
        <f>C28/B28*100</f>
        <v>20.29691153617792</v>
      </c>
    </row>
    <row r="29" spans="1:11" x14ac:dyDescent="0.25">
      <c r="A29" s="6" t="s">
        <v>14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 s="6" t="s">
        <v>15</v>
      </c>
      <c r="B30" s="6" t="s">
        <v>63</v>
      </c>
      <c r="C30" s="6" t="s">
        <v>64</v>
      </c>
      <c r="D30" s="6" t="s">
        <v>65</v>
      </c>
      <c r="E30" s="6" t="s">
        <v>67</v>
      </c>
      <c r="F30" s="6" t="s">
        <v>68</v>
      </c>
      <c r="G30" s="6" t="s">
        <v>69</v>
      </c>
      <c r="H30" s="6" t="s">
        <v>66</v>
      </c>
      <c r="I30" s="6" t="s">
        <v>71</v>
      </c>
      <c r="J30" s="6" t="s">
        <v>72</v>
      </c>
      <c r="K30" s="6" t="s">
        <v>73</v>
      </c>
    </row>
    <row r="31" spans="1:11" x14ac:dyDescent="0.25">
      <c r="A31" s="7" t="s">
        <v>3</v>
      </c>
      <c r="B31" s="7">
        <f>SUM('1. Data Original'!C41:C44)</f>
        <v>9.4596748950756151</v>
      </c>
      <c r="C31" s="7">
        <f>SQRT(SUM('1. Data Original'!H41:H44))</f>
        <v>3.0328638621926665</v>
      </c>
      <c r="D31" s="7">
        <f>D14</f>
        <v>3.64</v>
      </c>
      <c r="E31" s="7">
        <f t="shared" ref="E31:H31" si="6">E14</f>
        <v>4.585</v>
      </c>
      <c r="F31" s="7">
        <f t="shared" si="6"/>
        <v>7.86</v>
      </c>
      <c r="G31" s="7">
        <f t="shared" si="6"/>
        <v>11.295</v>
      </c>
      <c r="H31" s="7">
        <f t="shared" si="6"/>
        <v>12.72</v>
      </c>
      <c r="I31" s="7">
        <f>(SUM('1. Data Original'!K41:K44))/(C31^3)</f>
        <v>-0.7051568785876513</v>
      </c>
      <c r="J31" s="7">
        <f>(SUM('1. Data Original'!N41:N44))/(C31^4)-3</f>
        <v>-1.2051479247370764</v>
      </c>
      <c r="K31" s="7">
        <f>C31/B31*100</f>
        <v>32.060973509475176</v>
      </c>
    </row>
    <row r="32" spans="1:11" x14ac:dyDescent="0.25">
      <c r="A32" s="7" t="s">
        <v>4</v>
      </c>
      <c r="B32" s="7">
        <f>SUM('1. Data Original'!D41:D44)</f>
        <v>9.4584801074002609</v>
      </c>
      <c r="C32" s="7">
        <f>SQRT(SUM('1. Data Original'!I41:I44))</f>
        <v>1.4273004096492865</v>
      </c>
      <c r="D32" s="7">
        <f t="shared" ref="D32:H32" si="7">D15</f>
        <v>8.2200000000000006</v>
      </c>
      <c r="E32" s="7">
        <f t="shared" si="7"/>
        <v>9.2025000000000006</v>
      </c>
      <c r="F32" s="7">
        <f t="shared" si="7"/>
        <v>9.9349999999999987</v>
      </c>
      <c r="G32" s="7">
        <f t="shared" si="7"/>
        <v>10.637499999999999</v>
      </c>
      <c r="H32" s="7">
        <f t="shared" si="7"/>
        <v>11.53</v>
      </c>
      <c r="I32" s="7">
        <f>(SUM('1. Data Original'!L41:L44))/(C32^3)</f>
        <v>0.57056527576500127</v>
      </c>
      <c r="J32" s="7">
        <f>(SUM('1. Data Original'!O41:O44))/(C32^4)-3</f>
        <v>-1.4083472340636569</v>
      </c>
      <c r="K32" s="7">
        <f>C32/B32*100</f>
        <v>15.090166638216798</v>
      </c>
    </row>
    <row r="33" spans="1:11" x14ac:dyDescent="0.25">
      <c r="A33" s="7" t="s">
        <v>5</v>
      </c>
      <c r="B33" s="7">
        <f>SUM('1. Data Original'!E41:E44)</f>
        <v>7.9194693958320936</v>
      </c>
      <c r="C33" s="7">
        <f>SQRT(SUM('1. Data Original'!J41:J44))</f>
        <v>1.7433426413984199</v>
      </c>
      <c r="D33" s="7">
        <f t="shared" ref="D33:H33" si="8">D16</f>
        <v>5.88</v>
      </c>
      <c r="E33" s="7">
        <f t="shared" si="8"/>
        <v>6.4350000000000005</v>
      </c>
      <c r="F33" s="7">
        <f t="shared" si="8"/>
        <v>7.3599999999999994</v>
      </c>
      <c r="G33" s="7">
        <f t="shared" si="8"/>
        <v>8.4824999999999999</v>
      </c>
      <c r="H33" s="7">
        <f t="shared" si="8"/>
        <v>9.6300000000000008</v>
      </c>
      <c r="I33" s="7">
        <f>(SUM('1. Data Original'!M41:M44))/(C33^3)</f>
        <v>-7.859830013266382E-2</v>
      </c>
      <c r="J33" s="7">
        <f>(SUM('1. Data Original'!P41:P44))/(C33^4)-3</f>
        <v>-1.9193946101383521</v>
      </c>
      <c r="K33" s="7">
        <f>C33/B33*100</f>
        <v>22.013376834512634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2"/>
  <sheetViews>
    <sheetView topLeftCell="F33" zoomScale="117" workbookViewId="0">
      <selection activeCell="P53" sqref="P53"/>
    </sheetView>
  </sheetViews>
  <sheetFormatPr defaultRowHeight="15" x14ac:dyDescent="0.25"/>
  <cols>
    <col min="1" max="1" width="27.42578125" bestFit="1" customWidth="1"/>
    <col min="2" max="2" width="17" bestFit="1" customWidth="1"/>
    <col min="3" max="3" width="13.85546875" bestFit="1" customWidth="1"/>
    <col min="4" max="4" width="16.28515625" bestFit="1" customWidth="1"/>
    <col min="5" max="5" width="12.7109375" bestFit="1" customWidth="1"/>
  </cols>
  <sheetData>
    <row r="1" spans="1:4" x14ac:dyDescent="0.25">
      <c r="A1" s="1" t="s">
        <v>16</v>
      </c>
    </row>
    <row r="2" spans="1:4" x14ac:dyDescent="0.25">
      <c r="A2" s="1" t="s">
        <v>0</v>
      </c>
    </row>
    <row r="3" spans="1:4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s="2" t="str">
        <f>'1. Data Original'!B3</f>
        <v>Kota Jakarta Pusat</v>
      </c>
      <c r="B4" s="2">
        <f>('1. Data Original'!C3 - '2. Statistika Deskriptif'!B4) / '2. Statistika Deskriptif'!C4</f>
        <v>-0.86747510051361965</v>
      </c>
      <c r="C4" s="2">
        <f>('1. Data Original'!D3 - '2. Statistika Deskriptif'!B5) / '2. Statistika Deskriptif'!C5</f>
        <v>1.470441673732648</v>
      </c>
      <c r="D4" s="2">
        <f>('1. Data Original'!E3 - '2. Statistika Deskriptif'!B6) / '2. Statistika Deskriptif'!C6</f>
        <v>-2.7239665775486309E-3</v>
      </c>
    </row>
    <row r="5" spans="1:4" x14ac:dyDescent="0.25">
      <c r="A5" s="2" t="str">
        <f>'1. Data Original'!B4</f>
        <v>Bandung Barat</v>
      </c>
      <c r="B5" s="2">
        <f>('1. Data Original'!C4 - '2. Statistika Deskriptif'!B4) / '2. Statistika Deskriptif'!C4</f>
        <v>0.65602008335464623</v>
      </c>
      <c r="C5" s="2">
        <f>('1. Data Original'!D4 - '2. Statistika Deskriptif'!B5) / '2. Statistika Deskriptif'!C5</f>
        <v>-1.3092376976493632</v>
      </c>
      <c r="D5" s="2">
        <f>('1. Data Original'!E4 - '2. Statistika Deskriptif'!B6) / '2. Statistika Deskriptif'!C6</f>
        <v>0.69461147727503925</v>
      </c>
    </row>
    <row r="6" spans="1:4" x14ac:dyDescent="0.25">
      <c r="A6" s="2" t="str">
        <f>'1. Data Original'!B5</f>
        <v>Kota Tasikmalaya</v>
      </c>
      <c r="B6" s="2">
        <f>('1. Data Original'!C5 - '2. Statistika Deskriptif'!B4) / '2. Statistika Deskriptif'!C4</f>
        <v>1.2878374840224223</v>
      </c>
      <c r="C6" s="2">
        <f>('1. Data Original'!D5 - '2. Statistika Deskriptif'!B5) / '2. Statistika Deskriptif'!C5</f>
        <v>-0.31587265583886387</v>
      </c>
      <c r="D6" s="2">
        <f>('1. Data Original'!E5 - '2. Statistika Deskriptif'!B6) / '2. Statistika Deskriptif'!C6</f>
        <v>-1.6262080467968558</v>
      </c>
    </row>
    <row r="7" spans="1:4" x14ac:dyDescent="0.25">
      <c r="A7" s="2" t="str">
        <f>'1. Data Original'!B6</f>
        <v>Kota Cilegon</v>
      </c>
      <c r="B7" s="2">
        <f>('1. Data Original'!C6 - '2. Statistika Deskriptif'!B4) / '2. Statistika Deskriptif'!C4</f>
        <v>-1.0763824668634485</v>
      </c>
      <c r="C7" s="2">
        <f>('1. Data Original'!D6 - '2. Statistika Deskriptif'!B5) / '2. Statistika Deskriptif'!C5</f>
        <v>0.15466867975558224</v>
      </c>
      <c r="D7" s="2">
        <f>('1. Data Original'!E6 - '2. Statistika Deskriptif'!B6) / '2. Statistika Deskriptif'!C6</f>
        <v>0.93432053609936616</v>
      </c>
    </row>
    <row r="8" spans="1:4" x14ac:dyDescent="0.25">
      <c r="A8" s="1" t="s">
        <v>13</v>
      </c>
    </row>
    <row r="9" spans="1:4" x14ac:dyDescent="0.25">
      <c r="A9" s="1" t="s">
        <v>2</v>
      </c>
      <c r="B9" s="1" t="s">
        <v>3</v>
      </c>
      <c r="C9" s="1" t="s">
        <v>4</v>
      </c>
      <c r="D9" s="1" t="s">
        <v>5</v>
      </c>
    </row>
    <row r="10" spans="1:4" x14ac:dyDescent="0.25">
      <c r="A10" s="2" t="str">
        <f>'1. Data Original'!B9</f>
        <v>Kota Jakarta Pusat</v>
      </c>
      <c r="B10" s="2">
        <f>('1. Data Original'!C9 - '2. Statistika Deskriptif'!B9) / '2. Statistika Deskriptif'!C9</f>
        <v>-0.89356642597673686</v>
      </c>
      <c r="C10" s="2">
        <f>('1. Data Original'!D9 - '2. Statistika Deskriptif'!B10) / '2. Statistika Deskriptif'!C10</f>
        <v>1.3907269337392965</v>
      </c>
      <c r="D10" s="2">
        <f>('1. Data Original'!E9 - '2. Statistika Deskriptif'!B11) / '2. Statistika Deskriptif'!C11</f>
        <v>-0.92056543529687862</v>
      </c>
    </row>
    <row r="11" spans="1:4" x14ac:dyDescent="0.25">
      <c r="A11" s="2" t="str">
        <f>'1. Data Original'!B10</f>
        <v>Bandung Barat</v>
      </c>
      <c r="B11" s="2">
        <f>('1. Data Original'!C10 - '2. Statistika Deskriptif'!B9) / '2. Statistika Deskriptif'!C9</f>
        <v>0.74775703083540601</v>
      </c>
      <c r="C11" s="2">
        <f>('1. Data Original'!D10 - '2. Statistika Deskriptif'!B10) / '2. Statistika Deskriptif'!C10</f>
        <v>-1.3950934233271741</v>
      </c>
      <c r="D11" s="2">
        <f>('1. Data Original'!E10 - '2. Statistika Deskriptif'!B11) / '2. Statistika Deskriptif'!C11</f>
        <v>1.3994379234480829</v>
      </c>
    </row>
    <row r="12" spans="1:4" x14ac:dyDescent="0.25">
      <c r="A12" s="2" t="str">
        <f>'1. Data Original'!B11</f>
        <v>Kota Tasikmalaya</v>
      </c>
      <c r="B12" s="2">
        <f>('1. Data Original'!C11 - '2. Statistika Deskriptif'!B9) / '2. Statistika Deskriptif'!C9</f>
        <v>1.2200246292577679</v>
      </c>
      <c r="C12" s="2">
        <f>('1. Data Original'!D11 - '2. Statistika Deskriptif'!B10) / '2. Statistika Deskriptif'!C10</f>
        <v>-0.24234017212725545</v>
      </c>
      <c r="D12" s="2">
        <f>('1. Data Original'!E11 - '2. Statistika Deskriptif'!B11) / '2. Statistika Deskriptif'!C11</f>
        <v>-0.97410397434483909</v>
      </c>
    </row>
    <row r="13" spans="1:4" x14ac:dyDescent="0.25">
      <c r="A13" s="2" t="str">
        <f>'1. Data Original'!B12</f>
        <v>Kota Cilegon</v>
      </c>
      <c r="B13" s="2">
        <f>('1. Data Original'!C12 - '2. Statistika Deskriptif'!B9) / '2. Statistika Deskriptif'!C9</f>
        <v>-1.0742152341164382</v>
      </c>
      <c r="C13" s="2">
        <f>('1. Data Original'!D12 - '2. Statistika Deskriptif'!B10) / '2. Statistika Deskriptif'!C10</f>
        <v>0.24670666171513458</v>
      </c>
      <c r="D13" s="2">
        <f>('1. Data Original'!E12 - '2. Statistika Deskriptif'!B11) / '2. Statistika Deskriptif'!C11</f>
        <v>0.49523148619363677</v>
      </c>
    </row>
    <row r="14" spans="1:4" x14ac:dyDescent="0.25">
      <c r="A14" s="1" t="s">
        <v>14</v>
      </c>
    </row>
    <row r="15" spans="1:4" x14ac:dyDescent="0.25">
      <c r="A15" s="1" t="s">
        <v>2</v>
      </c>
      <c r="B15" s="1" t="s">
        <v>3</v>
      </c>
      <c r="C15" s="1" t="s">
        <v>4</v>
      </c>
      <c r="D15" s="1" t="s">
        <v>5</v>
      </c>
    </row>
    <row r="16" spans="1:4" x14ac:dyDescent="0.25">
      <c r="A16" s="2" t="str">
        <f>'1. Data Original'!B15</f>
        <v>Kota Jakarta Pusat</v>
      </c>
      <c r="B16" s="2">
        <f>('1. Data Original'!C15 - '2. Statistika Deskriptif'!B14) / '2. Statistika Deskriptif'!C14</f>
        <v>-0.81342175593733446</v>
      </c>
      <c r="C16" s="2">
        <f>('1. Data Original'!D15 - '2. Statistika Deskriptif'!B15) / '2. Statistika Deskriptif'!C15</f>
        <v>1.3483620090341482</v>
      </c>
      <c r="D16" s="2">
        <f>('1. Data Original'!E15 - '2. Statistika Deskriptif'!B16) / '2. Statistika Deskriptif'!C16</f>
        <v>-1.1657688798586363</v>
      </c>
    </row>
    <row r="17" spans="1:5" x14ac:dyDescent="0.25">
      <c r="A17" s="2" t="str">
        <f>'1. Data Original'!B16</f>
        <v>Bandung Barat</v>
      </c>
      <c r="B17" s="2">
        <f>('1. Data Original'!C16 - '2. Statistika Deskriptif'!B14) / '2. Statistika Deskriptif'!C14</f>
        <v>0.72999388353350569</v>
      </c>
      <c r="C17" s="2">
        <f>('1. Data Original'!D16 - '2. Statistika Deskriptif'!B15) / '2. Statistika Deskriptif'!C15</f>
        <v>-1.3981476832138724</v>
      </c>
      <c r="D17" s="2">
        <f>('1. Data Original'!E16 - '2. Statistika Deskriptif'!B16) / '2. Statistika Deskriptif'!C16</f>
        <v>1.4402718351755721</v>
      </c>
    </row>
    <row r="18" spans="1:5" x14ac:dyDescent="0.25">
      <c r="A18" s="2" t="str">
        <f>'1. Data Original'!B17</f>
        <v>Kota Tasikmalaya</v>
      </c>
      <c r="B18" s="2">
        <f>('1. Data Original'!C17 - '2. Statistika Deskriptif'!B14) / '2. Statistika Deskriptif'!C14</f>
        <v>1.2253468759312416</v>
      </c>
      <c r="C18" s="2">
        <f>('1. Data Original'!D17 - '2. Statistika Deskriptif'!B15) / '2. Statistika Deskriptif'!C15</f>
        <v>-0.31116046362326677</v>
      </c>
      <c r="D18" s="2">
        <f>('1. Data Original'!E17 - '2. Statistika Deskriptif'!B16) / '2. Statistika Deskriptif'!C16</f>
        <v>-0.65151017875855255</v>
      </c>
    </row>
    <row r="19" spans="1:5" x14ac:dyDescent="0.25">
      <c r="A19" s="2" t="str">
        <f>'1. Data Original'!B18</f>
        <v>Kota Cilegon</v>
      </c>
      <c r="B19" s="2">
        <f>('1. Data Original'!C18 - '2. Statistika Deskriptif'!B14) / '2. Statistika Deskriptif'!C14</f>
        <v>-1.1419190035274118</v>
      </c>
      <c r="C19" s="2">
        <f>('1. Data Original'!D18 - '2. Statistika Deskriptif'!B15) / '2. Statistika Deskriptif'!C15</f>
        <v>0.36094613780298668</v>
      </c>
      <c r="D19" s="2">
        <f>('1. Data Original'!E18 - '2. Statistika Deskriptif'!B16) / '2. Statistika Deskriptif'!C16</f>
        <v>0.37700722344161447</v>
      </c>
    </row>
    <row r="20" spans="1:5" x14ac:dyDescent="0.25">
      <c r="A20" s="1" t="s">
        <v>25</v>
      </c>
    </row>
    <row r="21" spans="1:5" x14ac:dyDescent="0.25">
      <c r="A21" s="1" t="s">
        <v>0</v>
      </c>
    </row>
    <row r="22" spans="1:5" x14ac:dyDescent="0.25">
      <c r="A22" s="1" t="s">
        <v>24</v>
      </c>
      <c r="B22" s="1" t="s">
        <v>7</v>
      </c>
      <c r="C22" s="1" t="s">
        <v>9</v>
      </c>
      <c r="D22" s="1" t="s">
        <v>10</v>
      </c>
      <c r="E22" s="1" t="s">
        <v>12</v>
      </c>
    </row>
    <row r="23" spans="1:5" x14ac:dyDescent="0.25">
      <c r="A23" s="2" t="s">
        <v>3</v>
      </c>
      <c r="B23" s="7">
        <v>-0.86747510051361965</v>
      </c>
      <c r="C23" s="7">
        <v>0.65602008335464623</v>
      </c>
      <c r="D23" s="7">
        <v>1.2878374840224223</v>
      </c>
      <c r="E23" s="7">
        <v>-1.0763824668634485</v>
      </c>
    </row>
    <row r="24" spans="1:5" x14ac:dyDescent="0.25">
      <c r="A24" s="2" t="s">
        <v>4</v>
      </c>
      <c r="B24" s="7">
        <v>1.470441673732648</v>
      </c>
      <c r="C24" s="7">
        <v>-1.3092376976493632</v>
      </c>
      <c r="D24" s="7">
        <v>-0.31587265583886387</v>
      </c>
      <c r="E24" s="7">
        <v>0.15466867975558224</v>
      </c>
    </row>
    <row r="25" spans="1:5" x14ac:dyDescent="0.25">
      <c r="A25" s="2" t="s">
        <v>5</v>
      </c>
      <c r="B25" s="7">
        <v>-2.7239665775486309E-3</v>
      </c>
      <c r="C25" s="7">
        <v>0.69461147727503925</v>
      </c>
      <c r="D25" s="7">
        <v>-1.6262080467968558</v>
      </c>
      <c r="E25" s="7">
        <v>0.93432053609936616</v>
      </c>
    </row>
    <row r="26" spans="1:5" x14ac:dyDescent="0.25">
      <c r="A26" s="1" t="s">
        <v>13</v>
      </c>
    </row>
    <row r="27" spans="1:5" x14ac:dyDescent="0.25">
      <c r="A27" s="1" t="s">
        <v>2</v>
      </c>
      <c r="B27" s="1" t="s">
        <v>7</v>
      </c>
      <c r="C27" s="1" t="s">
        <v>9</v>
      </c>
      <c r="D27" s="1" t="s">
        <v>10</v>
      </c>
      <c r="E27" s="1" t="s">
        <v>12</v>
      </c>
    </row>
    <row r="28" spans="1:5" x14ac:dyDescent="0.25">
      <c r="A28" s="2" t="s">
        <v>3</v>
      </c>
      <c r="B28" s="7">
        <v>-0.89356642597673686</v>
      </c>
      <c r="C28" s="7">
        <v>0.74775703083540601</v>
      </c>
      <c r="D28" s="7">
        <v>1.2200246292577679</v>
      </c>
      <c r="E28" s="7">
        <v>-1.0742152341164382</v>
      </c>
    </row>
    <row r="29" spans="1:5" x14ac:dyDescent="0.25">
      <c r="A29" s="2" t="s">
        <v>4</v>
      </c>
      <c r="B29" s="7">
        <v>1.3907269337392965</v>
      </c>
      <c r="C29" s="7">
        <v>-1.3950934233271741</v>
      </c>
      <c r="D29" s="7">
        <v>-0.24234017212725545</v>
      </c>
      <c r="E29" s="7">
        <v>0.24670666171513458</v>
      </c>
    </row>
    <row r="30" spans="1:5" x14ac:dyDescent="0.25">
      <c r="A30" s="2" t="s">
        <v>5</v>
      </c>
      <c r="B30" s="7">
        <v>-0.92056543529687862</v>
      </c>
      <c r="C30" s="7">
        <v>1.3994379234480829</v>
      </c>
      <c r="D30" s="7">
        <v>-0.97410397434483909</v>
      </c>
      <c r="E30" s="7">
        <v>0.49523148619363677</v>
      </c>
    </row>
    <row r="31" spans="1:5" x14ac:dyDescent="0.25">
      <c r="A31" s="1" t="s">
        <v>14</v>
      </c>
    </row>
    <row r="32" spans="1:5" x14ac:dyDescent="0.25">
      <c r="A32" s="1" t="s">
        <v>2</v>
      </c>
      <c r="B32" s="1" t="s">
        <v>7</v>
      </c>
      <c r="C32" s="1" t="s">
        <v>9</v>
      </c>
      <c r="D32" s="1" t="s">
        <v>10</v>
      </c>
      <c r="E32" s="1" t="s">
        <v>12</v>
      </c>
    </row>
    <row r="33" spans="1:14" x14ac:dyDescent="0.25">
      <c r="A33" s="2" t="s">
        <v>3</v>
      </c>
      <c r="B33" s="7">
        <v>-0.81342175593733446</v>
      </c>
      <c r="C33" s="7">
        <v>0.72999388353350569</v>
      </c>
      <c r="D33" s="7">
        <v>1.2253468759312416</v>
      </c>
      <c r="E33" s="7">
        <v>-1.1419190035274118</v>
      </c>
    </row>
    <row r="34" spans="1:14" x14ac:dyDescent="0.25">
      <c r="A34" s="2" t="s">
        <v>4</v>
      </c>
      <c r="B34" s="7">
        <v>1.3483620090341482</v>
      </c>
      <c r="C34" s="7">
        <v>-1.3981476832138724</v>
      </c>
      <c r="D34" s="7">
        <v>-0.31116046362326677</v>
      </c>
      <c r="E34" s="7">
        <v>0.36094613780298668</v>
      </c>
    </row>
    <row r="35" spans="1:14" x14ac:dyDescent="0.25">
      <c r="A35" s="2" t="s">
        <v>5</v>
      </c>
      <c r="B35" s="7">
        <v>-1.1657688798586363</v>
      </c>
      <c r="C35" s="7">
        <v>1.4402718351755721</v>
      </c>
      <c r="D35" s="7">
        <v>-0.65151017875855255</v>
      </c>
      <c r="E35" s="7">
        <v>0.37700722344161447</v>
      </c>
    </row>
    <row r="38" spans="1:14" x14ac:dyDescent="0.25">
      <c r="A38" s="6" t="s">
        <v>16</v>
      </c>
      <c r="B38" s="5"/>
      <c r="C38" s="5"/>
      <c r="D38" s="5"/>
      <c r="E38" s="5"/>
    </row>
    <row r="39" spans="1:14" x14ac:dyDescent="0.25">
      <c r="A39" s="6" t="str">
        <f>A2</f>
        <v>Data Tahun 2020</v>
      </c>
      <c r="B39" s="5"/>
      <c r="C39" s="5"/>
      <c r="D39" s="5"/>
      <c r="E39" s="5"/>
    </row>
    <row r="40" spans="1:14" x14ac:dyDescent="0.25">
      <c r="A40" s="6" t="str">
        <f t="shared" ref="A40:A72" si="0">A3</f>
        <v>Kabupaten/Kota</v>
      </c>
      <c r="B40" s="6" t="s">
        <v>3</v>
      </c>
      <c r="C40" s="6" t="s">
        <v>4</v>
      </c>
      <c r="D40" s="6" t="s">
        <v>5</v>
      </c>
      <c r="E40" s="5"/>
    </row>
    <row r="41" spans="1:14" x14ac:dyDescent="0.25">
      <c r="A41" s="7" t="str">
        <f t="shared" si="0"/>
        <v>Kota Jakarta Pusat</v>
      </c>
      <c r="B41" s="7">
        <f>('1. Data Original'!C3 - '2. Statistika Deskriptif'!B21) / '2. Statistika Deskriptif'!C21</f>
        <v>-1.4790127066301544</v>
      </c>
      <c r="C41" s="7">
        <f>('1. Data Original'!D3 - '2. Statistika Deskriptif'!B22) / '2. Statistika Deskriptif'!C22</f>
        <v>1.4697449029272016</v>
      </c>
      <c r="D41" s="7">
        <f>('1. Data Original'!E3 - '2. Statistika Deskriptif'!B23) / '2. Statistika Deskriptif'!C23</f>
        <v>-2.7681235223310521E-2</v>
      </c>
      <c r="E41" s="5"/>
      <c r="G41">
        <f>'1. Data Original'!$E21*B41</f>
        <v>-0.80238350078315679</v>
      </c>
      <c r="H41" s="5">
        <f>'1. Data Original'!$E21*C41</f>
        <v>0.79735559754310315</v>
      </c>
      <c r="I41" s="5">
        <f>'1. Data Original'!$E21*D41</f>
        <v>-1.5017427723855286E-2</v>
      </c>
      <c r="K41" s="5">
        <v>-0.80238350078315679</v>
      </c>
      <c r="L41" s="5">
        <v>0.28059351143101624</v>
      </c>
      <c r="M41" s="5">
        <v>0.52638281668271525</v>
      </c>
      <c r="N41" s="5">
        <v>-1.9212738351129775E-2</v>
      </c>
    </row>
    <row r="42" spans="1:14" x14ac:dyDescent="0.25">
      <c r="A42" s="7" t="str">
        <f t="shared" si="0"/>
        <v>Bandung Barat</v>
      </c>
      <c r="B42" s="7">
        <f>('1. Data Original'!C4 - '2. Statistika Deskriptif'!B21) / '2. Statistika Deskriptif'!C21</f>
        <v>0.39523545574314989</v>
      </c>
      <c r="C42" s="7">
        <f>('1. Data Original'!D4 - '2. Statistika Deskriptif'!B22) / '2. Statistika Deskriptif'!C22</f>
        <v>-0.84996221012035955</v>
      </c>
      <c r="D42" s="7">
        <f>('1. Data Original'!E4 - '2. Statistika Deskriptif'!B23) / '2. Statistika Deskriptif'!C23</f>
        <v>0.76402554578205428</v>
      </c>
      <c r="E42" s="5"/>
      <c r="G42" s="5">
        <f>'1. Data Original'!$E22*B42</f>
        <v>0.28059351143101624</v>
      </c>
      <c r="H42" s="5">
        <f>'1. Data Original'!$E22*C42</f>
        <v>-0.60342228323849567</v>
      </c>
      <c r="I42" s="5">
        <f>'1. Data Original'!$E22*D42</f>
        <v>0.54241239645590889</v>
      </c>
      <c r="K42" s="5">
        <v>0.79735559754310315</v>
      </c>
      <c r="L42" s="5">
        <v>-0.60342228323849567</v>
      </c>
      <c r="M42" s="5">
        <v>-9.4168379600496691E-3</v>
      </c>
      <c r="N42" s="5">
        <v>4.1136748481130072E-3</v>
      </c>
    </row>
    <row r="43" spans="1:14" x14ac:dyDescent="0.25">
      <c r="A43" s="7" t="str">
        <f t="shared" si="0"/>
        <v>Kota Tasikmalaya</v>
      </c>
      <c r="B43" s="7">
        <f>('1. Data Original'!C5 - '2. Statistika Deskriptif'!B21) / '2. Statistika Deskriptif'!C21</f>
        <v>1.172515630105323</v>
      </c>
      <c r="C43" s="7">
        <f>('1. Data Original'!D5 - '2. Statistika Deskriptif'!B22) / '2. Statistika Deskriptif'!C22</f>
        <v>-2.0975969093958317E-2</v>
      </c>
      <c r="D43" s="7">
        <f>('1. Data Original'!E5 - '2. Statistika Deskriptif'!B23) / '2. Statistika Deskriptif'!C23</f>
        <v>-1.8708735847514268</v>
      </c>
      <c r="E43" s="5"/>
      <c r="G43" s="5">
        <f>'1. Data Original'!$E23*B43</f>
        <v>0.52638281668271525</v>
      </c>
      <c r="H43" s="5">
        <f>'1. Data Original'!$E23*C43</f>
        <v>-9.4168379600496691E-3</v>
      </c>
      <c r="I43" s="5">
        <f>'1. Data Original'!$E23*D43</f>
        <v>-0.8398998545633749</v>
      </c>
      <c r="K43" s="5">
        <v>-1.5017427723855286E-2</v>
      </c>
      <c r="L43" s="5">
        <v>0.54241239645590889</v>
      </c>
      <c r="M43" s="5">
        <v>-0.8398998545633749</v>
      </c>
      <c r="N43" s="5">
        <v>1.1467490568490259E-2</v>
      </c>
    </row>
    <row r="44" spans="1:14" x14ac:dyDescent="0.25">
      <c r="A44" s="7" t="str">
        <f t="shared" si="0"/>
        <v>Kota Cilegon</v>
      </c>
      <c r="B44" s="7">
        <f>('1. Data Original'!C6 - '2. Statistika Deskriptif'!B21) / '2. Statistika Deskriptif'!C21</f>
        <v>-1.7360166352499051</v>
      </c>
      <c r="C44" s="7">
        <f>('1. Data Original'!D6 - '2. Statistika Deskriptif'!B22) / '2. Statistika Deskriptif'!C22</f>
        <v>0.37170172402380985</v>
      </c>
      <c r="D44" s="7">
        <f>('1. Data Original'!E6 - '2. Statistika Deskriptif'!B23) / '2. Statistika Deskriptif'!C23</f>
        <v>1.0361747517526483</v>
      </c>
      <c r="E44" s="5"/>
      <c r="G44" s="5">
        <f>'1. Data Original'!$E24*B44</f>
        <v>-1.9212738351129775E-2</v>
      </c>
      <c r="H44" s="5">
        <f>'1. Data Original'!$E24*C44</f>
        <v>4.1136748481130072E-3</v>
      </c>
      <c r="I44" s="5">
        <f>'1. Data Original'!$E24*D44</f>
        <v>1.1467490568490259E-2</v>
      </c>
    </row>
    <row r="45" spans="1:14" x14ac:dyDescent="0.25">
      <c r="A45" s="6" t="str">
        <f t="shared" si="0"/>
        <v>Data Tahun 2021</v>
      </c>
      <c r="B45" s="5"/>
      <c r="C45" s="5"/>
      <c r="D45" s="5"/>
      <c r="E45" s="5"/>
    </row>
    <row r="46" spans="1:14" x14ac:dyDescent="0.25">
      <c r="A46" s="6" t="str">
        <f t="shared" si="0"/>
        <v>Kabupaten/Kota</v>
      </c>
      <c r="B46" s="6" t="s">
        <v>3</v>
      </c>
      <c r="C46" s="6" t="s">
        <v>4</v>
      </c>
      <c r="D46" s="6" t="s">
        <v>5</v>
      </c>
      <c r="E46" s="5"/>
    </row>
    <row r="47" spans="1:14" x14ac:dyDescent="0.25">
      <c r="A47" s="7" t="str">
        <f t="shared" si="0"/>
        <v>Kota Jakarta Pusat</v>
      </c>
      <c r="B47" s="7">
        <f>('1. Data Original'!C9 - '2. Statistika Deskriptif'!B26) / '2. Statistika Deskriptif'!C26</f>
        <v>-1.5113087549245832</v>
      </c>
      <c r="C47" s="7">
        <f>('1. Data Original'!D9 - '2. Statistika Deskriptif'!B27) / '2. Statistika Deskriptif'!C27</f>
        <v>1.4421464342045536</v>
      </c>
      <c r="D47" s="7">
        <f>('1. Data Original'!E9 - '2. Statistika Deskriptif'!B28) / '2. Statistika Deskriptif'!C28</f>
        <v>-0.98956236245082141</v>
      </c>
      <c r="E47" s="5"/>
      <c r="G47" s="5">
        <f>'1. Data Original'!$E21*B47</f>
        <v>-0.81990452421708582</v>
      </c>
      <c r="H47" s="5">
        <f>'1. Data Original'!$E21*C47</f>
        <v>0.78238307171512167</v>
      </c>
      <c r="I47" s="5">
        <f>'1. Data Original'!$E21*D47</f>
        <v>-0.53685036583332946</v>
      </c>
      <c r="K47" s="5">
        <v>-0.81990452421708582</v>
      </c>
      <c r="L47" s="5">
        <v>0.33228715685766791</v>
      </c>
      <c r="M47" s="5">
        <v>0.46580639348445207</v>
      </c>
      <c r="N47" s="5">
        <v>-1.9136884407064261E-2</v>
      </c>
    </row>
    <row r="48" spans="1:14" x14ac:dyDescent="0.25">
      <c r="A48" s="7" t="str">
        <f t="shared" si="0"/>
        <v>Bandung Barat</v>
      </c>
      <c r="B48" s="7">
        <f>('1. Data Original'!C10 - '2. Statistika Deskriptif'!B26) / '2. Statistika Deskriptif'!C26</f>
        <v>0.46804954686389366</v>
      </c>
      <c r="C48" s="7">
        <f>('1. Data Original'!D10 - '2. Statistika Deskriptif'!B27) / '2. Statistika Deskriptif'!C27</f>
        <v>-0.87563163449960701</v>
      </c>
      <c r="D48" s="7">
        <f>('1. Data Original'!E10 - '2. Statistika Deskriptif'!B28) / '2. Statistika Deskriptif'!C28</f>
        <v>0.99178638576260758</v>
      </c>
      <c r="E48" s="5"/>
      <c r="G48" s="5">
        <f>'1. Data Original'!$E22*B48</f>
        <v>0.33228715685766791</v>
      </c>
      <c r="H48" s="5">
        <f>'1. Data Original'!$E22*C48</f>
        <v>-0.62164603775829963</v>
      </c>
      <c r="I48" s="5">
        <f>'1. Data Original'!$E22*D48</f>
        <v>0.70410895714643817</v>
      </c>
      <c r="K48" s="5">
        <v>0.78238307171512167</v>
      </c>
      <c r="L48" s="5">
        <v>-0.62164603775829963</v>
      </c>
      <c r="M48" s="5">
        <v>3.7463117705752572E-2</v>
      </c>
      <c r="N48" s="5">
        <v>5.4265684168173659E-3</v>
      </c>
    </row>
    <row r="49" spans="1:14" x14ac:dyDescent="0.25">
      <c r="A49" s="7" t="str">
        <f t="shared" si="0"/>
        <v>Kota Tasikmalaya</v>
      </c>
      <c r="B49" s="7">
        <f>('1. Data Original'!C11 - '2. Statistika Deskriptif'!B26) / '2. Statistika Deskriptif'!C26</f>
        <v>1.0375818884162384</v>
      </c>
      <c r="C49" s="7">
        <f>('1. Data Original'!D11 - '2. Statistika Deskriptif'!B27) / '2. Statistika Deskriptif'!C27</f>
        <v>8.3448945653838535E-2</v>
      </c>
      <c r="D49" s="7">
        <f>('1. Data Original'!E11 - '2. Statistika Deskriptif'!B28) / '2. Statistika Deskriptif'!C28</f>
        <v>-1.0352857951019003</v>
      </c>
      <c r="E49" s="5"/>
      <c r="G49" s="5">
        <f>'1. Data Original'!$E23*B49</f>
        <v>0.46580639348445207</v>
      </c>
      <c r="H49" s="5">
        <f>'1. Data Original'!$E23*C49</f>
        <v>3.7463117705752572E-2</v>
      </c>
      <c r="I49" s="5">
        <f>'1. Data Original'!$E23*D49</f>
        <v>-0.46477559778746075</v>
      </c>
      <c r="K49" s="5">
        <v>-0.53685036583332946</v>
      </c>
      <c r="L49" s="5">
        <v>0.70410895714643817</v>
      </c>
      <c r="M49" s="5">
        <v>-0.46477559778746075</v>
      </c>
      <c r="N49" s="5">
        <v>2.4299942559259406E-3</v>
      </c>
    </row>
    <row r="50" spans="1:14" x14ac:dyDescent="0.25">
      <c r="A50" s="7" t="str">
        <f t="shared" si="0"/>
        <v>Kota Cilegon</v>
      </c>
      <c r="B50" s="7">
        <f>('1. Data Original'!C12 - '2. Statistika Deskriptif'!B26) / '2. Statistika Deskriptif'!C26</f>
        <v>-1.7291626560648243</v>
      </c>
      <c r="C50" s="7">
        <f>('1. Data Original'!D12 - '2. Statistika Deskriptif'!B27) / '2. Statistika Deskriptif'!C27</f>
        <v>0.49033161602196723</v>
      </c>
      <c r="D50" s="7">
        <f>('1. Data Original'!E12 - '2. Statistika Deskriptif'!B28) / '2. Statistika Deskriptif'!C28</f>
        <v>0.21956841209993813</v>
      </c>
      <c r="E50" s="5"/>
      <c r="G50" s="5">
        <f>'1. Data Original'!$E24*B50</f>
        <v>-1.9136884407064261E-2</v>
      </c>
      <c r="H50" s="5">
        <f>'1. Data Original'!$E24*C50</f>
        <v>5.4265684168173659E-3</v>
      </c>
      <c r="I50" s="5">
        <f>'1. Data Original'!$E24*D50</f>
        <v>2.4299942559259406E-3</v>
      </c>
    </row>
    <row r="51" spans="1:14" x14ac:dyDescent="0.25">
      <c r="A51" s="6" t="str">
        <f t="shared" si="0"/>
        <v>Data Tahun 2022</v>
      </c>
      <c r="B51" s="5"/>
      <c r="C51" s="5"/>
      <c r="D51" s="5"/>
      <c r="E51" s="5"/>
    </row>
    <row r="52" spans="1:14" x14ac:dyDescent="0.25">
      <c r="A52" s="6" t="str">
        <f t="shared" si="0"/>
        <v>Kabupaten/Kota</v>
      </c>
      <c r="B52" s="6" t="s">
        <v>3</v>
      </c>
      <c r="C52" s="6" t="s">
        <v>4</v>
      </c>
      <c r="D52" s="6" t="s">
        <v>5</v>
      </c>
      <c r="E52" s="5"/>
    </row>
    <row r="53" spans="1:14" x14ac:dyDescent="0.25">
      <c r="A53" s="7" t="str">
        <f t="shared" si="0"/>
        <v>Kota Jakarta Pusat</v>
      </c>
      <c r="B53" s="7">
        <f>('1. Data Original'!C15 - '2. Statistika Deskriptif'!B31) / '2. Statistika Deskriptif'!C31</f>
        <v>-1.5034222115657745</v>
      </c>
      <c r="C53" s="7">
        <f>('1. Data Original'!D15 - '2. Statistika Deskriptif'!B32) / '2. Statistika Deskriptif'!C32</f>
        <v>1.45135521477833</v>
      </c>
      <c r="D53" s="7">
        <f>('1. Data Original'!E15 - '2. Statistika Deskriptif'!B33) / '2. Statistika Deskriptif'!C33</f>
        <v>-1.1698614761101329</v>
      </c>
      <c r="E53" s="5"/>
      <c r="G53" s="5">
        <f>'1. Data Original'!$E21*B53</f>
        <v>-0.81562597255829905</v>
      </c>
      <c r="H53" s="5">
        <f>'1. Data Original'!$E21*C53</f>
        <v>0.78737895414507453</v>
      </c>
      <c r="I53" s="5">
        <f>'1. Data Original'!$E21*D53</f>
        <v>-0.63466496428642782</v>
      </c>
      <c r="K53" s="5">
        <v>-0.81562597255829905</v>
      </c>
      <c r="L53" s="5">
        <v>0.31842820112590109</v>
      </c>
      <c r="M53" s="5">
        <v>0.48260415281513602</v>
      </c>
      <c r="N53" s="5">
        <v>-2.1236414519320901E-2</v>
      </c>
    </row>
    <row r="54" spans="1:14" x14ac:dyDescent="0.25">
      <c r="A54" s="7" t="str">
        <f t="shared" si="0"/>
        <v>Bandung Barat</v>
      </c>
      <c r="B54" s="7">
        <f>('1. Data Original'!C16 - '2. Statistika Deskriptif'!B31) / '2. Statistika Deskriptif'!C31</f>
        <v>0.44852824483223336</v>
      </c>
      <c r="C54" s="7">
        <f>('1. Data Original'!D16 - '2. Statistika Deskriptif'!B32) / '2. Statistika Deskriptif'!C32</f>
        <v>-0.86770808655801979</v>
      </c>
      <c r="D54" s="7">
        <f>('1. Data Original'!E16 - '2. Statistika Deskriptif'!B33) / '2. Statistika Deskriptif'!C33</f>
        <v>0.98117866422162847</v>
      </c>
      <c r="E54" s="5"/>
      <c r="G54" s="5">
        <f>'1. Data Original'!$E22*B54</f>
        <v>0.31842820112590109</v>
      </c>
      <c r="H54" s="5">
        <f>'1. Data Original'!$E22*C54</f>
        <v>-0.61602079309055702</v>
      </c>
      <c r="I54" s="5">
        <f>'1. Data Original'!$E22*D54</f>
        <v>0.69657810992052516</v>
      </c>
      <c r="K54" s="5">
        <v>0.78737895414507453</v>
      </c>
      <c r="L54" s="5">
        <v>-0.61602079309055702</v>
      </c>
      <c r="M54" s="5">
        <v>2.2495441756930839E-2</v>
      </c>
      <c r="N54" s="5">
        <v>6.83521394325991E-3</v>
      </c>
    </row>
    <row r="55" spans="1:14" x14ac:dyDescent="0.25">
      <c r="A55" s="7" t="str">
        <f t="shared" si="0"/>
        <v>Kota Tasikmalaya</v>
      </c>
      <c r="B55" s="7">
        <f>('1. Data Original'!C17 - '2. Statistika Deskriptif'!B31) / '2. Statistika Deskriptif'!C31</f>
        <v>1.0749988305005129</v>
      </c>
      <c r="C55" s="7">
        <f>('1. Data Original'!D17 - '2. Statistika Deskriptif'!B32) / '2. Statistika Deskriptif'!C32</f>
        <v>5.0108507022226793E-2</v>
      </c>
      <c r="D55" s="7">
        <f>('1. Data Original'!E17 - '2. Statistika Deskriptif'!B33) / '2. Statistika Deskriptif'!C33</f>
        <v>-0.74538955508466542</v>
      </c>
      <c r="E55" s="5"/>
      <c r="G55" s="5">
        <f>'1. Data Original'!$E23*B55</f>
        <v>0.48260415281513602</v>
      </c>
      <c r="H55" s="5">
        <f>'1. Data Original'!$E23*C55</f>
        <v>2.2495441756930839E-2</v>
      </c>
      <c r="I55" s="5">
        <f>'1. Data Original'!$E23*D55</f>
        <v>-0.33463114986032022</v>
      </c>
      <c r="K55" s="5">
        <v>-0.63466496428642782</v>
      </c>
      <c r="L55" s="5">
        <v>0.69657810992052516</v>
      </c>
      <c r="M55" s="5">
        <v>-0.33463114986032022</v>
      </c>
      <c r="N55" s="5">
        <v>1.1460497441226063E-3</v>
      </c>
    </row>
    <row r="56" spans="1:14" x14ac:dyDescent="0.25">
      <c r="A56" s="7" t="str">
        <f t="shared" si="0"/>
        <v>Kota Cilegon</v>
      </c>
      <c r="B56" s="7">
        <f>('1. Data Original'!C18 - '2. Statistika Deskriptif'!B31) / '2. Statistika Deskriptif'!C31</f>
        <v>-1.9188711262721072</v>
      </c>
      <c r="C56" s="7">
        <f>('1. Data Original'!D18 - '2. Statistika Deskriptif'!B32) / '2. Statistika Deskriptif'!C32</f>
        <v>0.61761342366344885</v>
      </c>
      <c r="D56" s="7">
        <f>('1. Data Original'!E18 - '2. Statistika Deskriptif'!B33) / '2. Statistika Deskriptif'!C33</f>
        <v>0.10355428696626937</v>
      </c>
      <c r="E56" s="5"/>
      <c r="G56" s="5">
        <f>'1. Data Original'!$E24*B56</f>
        <v>-2.1236414519320901E-2</v>
      </c>
      <c r="H56" s="5">
        <f>'1. Data Original'!$E24*C56</f>
        <v>6.83521394325991E-3</v>
      </c>
      <c r="I56" s="5">
        <f>'1. Data Original'!$E24*D56</f>
        <v>1.1460497441226063E-3</v>
      </c>
    </row>
    <row r="57" spans="1:14" x14ac:dyDescent="0.25">
      <c r="A57" s="6" t="str">
        <f t="shared" si="0"/>
        <v>Z-Score transpose</v>
      </c>
      <c r="B57" s="5"/>
      <c r="C57" s="5"/>
      <c r="D57" s="5"/>
      <c r="E57" s="5"/>
    </row>
    <row r="58" spans="1:14" x14ac:dyDescent="0.25">
      <c r="A58" s="6" t="str">
        <f t="shared" si="0"/>
        <v>Data Tahun 2020</v>
      </c>
      <c r="B58" s="5"/>
      <c r="C58" s="5"/>
      <c r="D58" s="5"/>
      <c r="E58" s="5"/>
    </row>
    <row r="59" spans="1:14" x14ac:dyDescent="0.25">
      <c r="A59" s="6" t="str">
        <f t="shared" si="0"/>
        <v>Variabel</v>
      </c>
      <c r="B59" s="6" t="s">
        <v>7</v>
      </c>
      <c r="C59" s="6" t="s">
        <v>9</v>
      </c>
      <c r="D59" s="6" t="s">
        <v>10</v>
      </c>
      <c r="E59" s="6" t="s">
        <v>12</v>
      </c>
    </row>
    <row r="60" spans="1:14" x14ac:dyDescent="0.25">
      <c r="A60" s="7" t="str">
        <f t="shared" si="0"/>
        <v>PPM</v>
      </c>
      <c r="B60" s="7">
        <v>-1.4790127066301544</v>
      </c>
      <c r="C60" s="7">
        <v>0.39523545574314989</v>
      </c>
      <c r="D60" s="7">
        <v>1.172515630105323</v>
      </c>
      <c r="E60" s="7">
        <v>-1.7360166352499051</v>
      </c>
    </row>
    <row r="61" spans="1:14" x14ac:dyDescent="0.25">
      <c r="A61" s="7" t="str">
        <f t="shared" si="0"/>
        <v>RLS</v>
      </c>
      <c r="B61" s="7">
        <v>1.4697449029272016</v>
      </c>
      <c r="C61" s="7">
        <v>-0.84996221012035955</v>
      </c>
      <c r="D61" s="7">
        <v>-2.0975969093958317E-2</v>
      </c>
      <c r="E61" s="7">
        <v>0.37170172402380985</v>
      </c>
    </row>
    <row r="62" spans="1:14" x14ac:dyDescent="0.25">
      <c r="A62" s="7" t="str">
        <f t="shared" si="0"/>
        <v>TPT</v>
      </c>
      <c r="B62" s="7">
        <v>-2.7681235223310521E-2</v>
      </c>
      <c r="C62" s="7">
        <v>0.76402554578205428</v>
      </c>
      <c r="D62" s="7">
        <v>-1.8708735847514268</v>
      </c>
      <c r="E62" s="7">
        <v>1.0361747517526483</v>
      </c>
    </row>
    <row r="63" spans="1:14" x14ac:dyDescent="0.25">
      <c r="A63" s="6" t="str">
        <f t="shared" si="0"/>
        <v>Data Tahun 2021</v>
      </c>
      <c r="B63" s="5"/>
      <c r="C63" s="5"/>
      <c r="D63" s="5"/>
      <c r="E63" s="5"/>
    </row>
    <row r="64" spans="1:14" x14ac:dyDescent="0.25">
      <c r="A64" s="6" t="str">
        <f t="shared" si="0"/>
        <v>Kabupaten/Kota</v>
      </c>
      <c r="B64" s="6" t="s">
        <v>7</v>
      </c>
      <c r="C64" s="6" t="s">
        <v>9</v>
      </c>
      <c r="D64" s="6" t="s">
        <v>10</v>
      </c>
      <c r="E64" s="6" t="s">
        <v>12</v>
      </c>
    </row>
    <row r="65" spans="1:5" x14ac:dyDescent="0.25">
      <c r="A65" s="7" t="str">
        <f t="shared" si="0"/>
        <v>PPM</v>
      </c>
      <c r="B65" s="7">
        <v>-1.5113087549245832</v>
      </c>
      <c r="C65" s="7">
        <v>0.46804954686389366</v>
      </c>
      <c r="D65" s="7">
        <v>1.0375818884162384</v>
      </c>
      <c r="E65" s="7">
        <v>-1.7291626560648243</v>
      </c>
    </row>
    <row r="66" spans="1:5" x14ac:dyDescent="0.25">
      <c r="A66" s="7" t="str">
        <f t="shared" si="0"/>
        <v>RLS</v>
      </c>
      <c r="B66" s="7">
        <v>1.4421464342045536</v>
      </c>
      <c r="C66" s="7">
        <v>-0.87563163449960701</v>
      </c>
      <c r="D66" s="7">
        <v>8.3448945653838535E-2</v>
      </c>
      <c r="E66" s="7">
        <v>0.49033161602196723</v>
      </c>
    </row>
    <row r="67" spans="1:5" x14ac:dyDescent="0.25">
      <c r="A67" s="7" t="str">
        <f t="shared" si="0"/>
        <v>TPT</v>
      </c>
      <c r="B67" s="7">
        <v>-0.98956236245082141</v>
      </c>
      <c r="C67" s="7">
        <v>0.99178638576260758</v>
      </c>
      <c r="D67" s="7">
        <v>-1.0352857951019003</v>
      </c>
      <c r="E67" s="7">
        <v>0.21956841209993813</v>
      </c>
    </row>
    <row r="68" spans="1:5" x14ac:dyDescent="0.25">
      <c r="A68" s="6" t="str">
        <f t="shared" si="0"/>
        <v>Data Tahun 2022</v>
      </c>
      <c r="B68" s="5"/>
      <c r="C68" s="5"/>
      <c r="D68" s="5"/>
      <c r="E68" s="5"/>
    </row>
    <row r="69" spans="1:5" x14ac:dyDescent="0.25">
      <c r="A69" s="6" t="str">
        <f t="shared" si="0"/>
        <v>Kabupaten/Kota</v>
      </c>
      <c r="B69" s="6" t="s">
        <v>7</v>
      </c>
      <c r="C69" s="6" t="s">
        <v>9</v>
      </c>
      <c r="D69" s="6" t="s">
        <v>10</v>
      </c>
      <c r="E69" s="6" t="s">
        <v>12</v>
      </c>
    </row>
    <row r="70" spans="1:5" x14ac:dyDescent="0.25">
      <c r="A70" s="7" t="str">
        <f t="shared" si="0"/>
        <v>PPM</v>
      </c>
      <c r="B70" s="7">
        <v>-1.5034222115657745</v>
      </c>
      <c r="C70" s="7">
        <v>0.44852824483223336</v>
      </c>
      <c r="D70" s="7">
        <v>1.0749988305005129</v>
      </c>
      <c r="E70" s="7">
        <v>-1.9188711262721072</v>
      </c>
    </row>
    <row r="71" spans="1:5" x14ac:dyDescent="0.25">
      <c r="A71" s="7" t="str">
        <f t="shared" si="0"/>
        <v>RLS</v>
      </c>
      <c r="B71" s="7">
        <v>1.45135521477833</v>
      </c>
      <c r="C71" s="7">
        <v>-0.86770808655801979</v>
      </c>
      <c r="D71" s="7">
        <v>5.0108507022226793E-2</v>
      </c>
      <c r="E71" s="7">
        <v>0.61761342366344885</v>
      </c>
    </row>
    <row r="72" spans="1:5" x14ac:dyDescent="0.25">
      <c r="A72" s="7" t="str">
        <f t="shared" si="0"/>
        <v>TPT</v>
      </c>
      <c r="B72" s="7">
        <v>-1.1698614761101329</v>
      </c>
      <c r="C72" s="7">
        <v>0.98117866422162847</v>
      </c>
      <c r="D72" s="7">
        <v>-0.74538955508466542</v>
      </c>
      <c r="E72" s="7">
        <v>0.10355428696626937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1"/>
  <sheetViews>
    <sheetView tabSelected="1" topLeftCell="F55" zoomScale="164" workbookViewId="0">
      <selection activeCell="K65" sqref="K65"/>
    </sheetView>
  </sheetViews>
  <sheetFormatPr defaultRowHeight="15" x14ac:dyDescent="0.25"/>
  <cols>
    <col min="1" max="1" width="37.5703125" bestFit="1" customWidth="1"/>
    <col min="2" max="2" width="17.140625" bestFit="1" customWidth="1"/>
    <col min="3" max="3" width="14" bestFit="1" customWidth="1"/>
    <col min="4" max="4" width="16.42578125" bestFit="1" customWidth="1"/>
    <col min="5" max="5" width="12.85546875" bestFit="1" customWidth="1"/>
    <col min="7" max="7" width="9.28515625" bestFit="1" customWidth="1"/>
    <col min="8" max="10" width="12.28515625" bestFit="1" customWidth="1"/>
    <col min="12" max="12" width="9.28515625" bestFit="1" customWidth="1"/>
  </cols>
  <sheetData>
    <row r="1" spans="1:12" x14ac:dyDescent="0.25">
      <c r="A1" s="1" t="s">
        <v>17</v>
      </c>
      <c r="B1" s="3" t="s">
        <v>18</v>
      </c>
    </row>
    <row r="2" spans="1:12" x14ac:dyDescent="0.25">
      <c r="A2" s="1" t="s">
        <v>0</v>
      </c>
    </row>
    <row r="3" spans="1:12" x14ac:dyDescent="0.25">
      <c r="A3" s="1" t="s">
        <v>23</v>
      </c>
      <c r="B3" s="1" t="str">
        <f>'3. Standardisasi Z-Score'!A4</f>
        <v>Kota Jakarta Pusat</v>
      </c>
      <c r="C3" s="1" t="str">
        <f>'3. Standardisasi Z-Score'!A5</f>
        <v>Bandung Barat</v>
      </c>
      <c r="D3" s="1" t="str">
        <f>'3. Standardisasi Z-Score'!A6</f>
        <v>Kota Tasikmalaya</v>
      </c>
      <c r="E3" s="1" t="str">
        <f>'3. Standardisasi Z-Score'!A7</f>
        <v>Kota Cilegon</v>
      </c>
    </row>
    <row r="4" spans="1:12" x14ac:dyDescent="0.25">
      <c r="A4" s="1" t="str">
        <f>'3. Standardisasi Z-Score'!A4</f>
        <v>Kota Jakarta Pusat</v>
      </c>
      <c r="B4" s="2">
        <f>SUMPRODUCT('3. Standardisasi Z-Score'!$B4:$D4, '3. Standardisasi Z-Score'!$B4:$D4)</f>
        <v>2.9147191858547012</v>
      </c>
      <c r="C4" s="2">
        <f>SUMPRODUCT('3. Standardisasi Z-Score'!$B4:$D4, '3. Standardisasi Z-Score'!$B5:$D5)</f>
        <v>-2.496130857640912</v>
      </c>
      <c r="D4" s="2">
        <f>SUMPRODUCT('3. Standardisasi Z-Score'!$B4:$D4, '3. Standardisasi Z-Score'!$B6:$D6)</f>
        <v>-1.5772095312680179</v>
      </c>
      <c r="E4" s="2">
        <f>SUMPRODUCT('3. Standardisasi Z-Score'!$B4:$D4, '3. Standardisasi Z-Score'!$B7:$D7)</f>
        <v>1.1586212030542331</v>
      </c>
      <c r="G4">
        <f>B4*B4</f>
        <v>8.4955879323894923</v>
      </c>
      <c r="H4">
        <f t="shared" ref="H4:H7" si="0">C4*C4</f>
        <v>6.230669258467155</v>
      </c>
      <c r="I4">
        <f t="shared" ref="I4:I7" si="1">D4*D4</f>
        <v>2.4875899055226807</v>
      </c>
      <c r="J4">
        <f t="shared" ref="J4:J7" si="2">E4*E4</f>
        <v>1.3424030921668384</v>
      </c>
    </row>
    <row r="5" spans="1:12" x14ac:dyDescent="0.25">
      <c r="A5" s="1" t="str">
        <f>'3. Standardisasi Z-Score'!A5</f>
        <v>Bandung Barat</v>
      </c>
      <c r="B5" s="2">
        <f>SUMPRODUCT('3. Standardisasi Z-Score'!$B5:$D5, '3. Standardisasi Z-Score'!$B4:$D4)</f>
        <v>-2.496130857640912</v>
      </c>
      <c r="C5" s="2">
        <f>SUMPRODUCT('3. Standardisasi Z-Score'!$B5:$D5, '3. Standardisasi Z-Score'!$B5:$D5)</f>
        <v>2.6269508030730546</v>
      </c>
      <c r="D5" s="2">
        <f>SUMPRODUCT('3. Standardisasi Z-Score'!$B5:$D5, '3. Standardisasi Z-Score'!$B6:$D6)</f>
        <v>0.12881686855437091</v>
      </c>
      <c r="E5" s="2">
        <f>SUMPRODUCT('3. Standardisasi Z-Score'!$B5:$D5, '3. Standardisasi Z-Score'!$B7:$D7)</f>
        <v>-0.25963681398651706</v>
      </c>
      <c r="G5">
        <f t="shared" ref="G5:G7" si="3">B5*B5</f>
        <v>6.230669258467155</v>
      </c>
      <c r="H5">
        <f t="shared" si="0"/>
        <v>6.9008705217661666</v>
      </c>
      <c r="I5">
        <f t="shared" si="1"/>
        <v>1.6593785624154072E-2</v>
      </c>
      <c r="J5">
        <f t="shared" si="2"/>
        <v>6.7411275177069255E-2</v>
      </c>
    </row>
    <row r="6" spans="1:12" x14ac:dyDescent="0.25">
      <c r="A6" s="1" t="str">
        <f>'3. Standardisasi Z-Score'!A6</f>
        <v>Kota Tasikmalaya</v>
      </c>
      <c r="B6" s="2">
        <f>SUMPRODUCT('3. Standardisasi Z-Score'!$B6:$D6, '3. Standardisasi Z-Score'!$B4:$D4)</f>
        <v>-1.5772095312680179</v>
      </c>
      <c r="C6" s="2">
        <f>SUMPRODUCT('3. Standardisasi Z-Score'!$B6:$D6, '3. Standardisasi Z-Score'!$B5:$D5)</f>
        <v>0.12881686855437091</v>
      </c>
      <c r="D6" s="2">
        <f>SUMPRODUCT('3. Standardisasi Z-Score'!$B6:$D6, '3. Standardisasi Z-Score'!$B6:$D6)</f>
        <v>4.4028535314267447</v>
      </c>
      <c r="E6" s="2">
        <f>SUMPRODUCT('3. Standardisasi Z-Score'!$B6:$D6, '3. Standardisasi Z-Score'!$B7:$D7)</f>
        <v>-2.9544608687130998</v>
      </c>
      <c r="G6">
        <f t="shared" si="3"/>
        <v>2.4875899055226807</v>
      </c>
      <c r="H6">
        <f t="shared" si="0"/>
        <v>1.6593785624154072E-2</v>
      </c>
      <c r="I6">
        <f t="shared" si="1"/>
        <v>19.385119219196959</v>
      </c>
      <c r="J6">
        <f t="shared" si="2"/>
        <v>8.7288390247569634</v>
      </c>
    </row>
    <row r="7" spans="1:12" x14ac:dyDescent="0.25">
      <c r="A7" s="1" t="str">
        <f>'3. Standardisasi Z-Score'!A7</f>
        <v>Kota Cilegon</v>
      </c>
      <c r="B7" s="2">
        <f>SUMPRODUCT('3. Standardisasi Z-Score'!$B7:$D7, '3. Standardisasi Z-Score'!$B4:$D4)</f>
        <v>1.1586212030542331</v>
      </c>
      <c r="C7" s="2">
        <f>SUMPRODUCT('3. Standardisasi Z-Score'!$B7:$D7, '3. Standardisasi Z-Score'!$B5:$D5)</f>
        <v>-0.25963681398651706</v>
      </c>
      <c r="D7" s="2">
        <f>SUMPRODUCT('3. Standardisasi Z-Score'!$B7:$D7, '3. Standardisasi Z-Score'!$B6:$D6)</f>
        <v>-2.9544608687130998</v>
      </c>
      <c r="E7" s="2">
        <f>SUMPRODUCT('3. Standardisasi Z-Score'!$B7:$D7, '3. Standardisasi Z-Score'!$B7:$D7)</f>
        <v>2.0554764796453848</v>
      </c>
      <c r="G7">
        <f t="shared" si="3"/>
        <v>1.3424030921668384</v>
      </c>
      <c r="H7">
        <f t="shared" si="0"/>
        <v>6.7411275177069255E-2</v>
      </c>
      <c r="I7">
        <f t="shared" si="1"/>
        <v>8.7288390247569634</v>
      </c>
      <c r="J7">
        <f t="shared" si="2"/>
        <v>4.2249835583753841</v>
      </c>
      <c r="L7">
        <f>SUM(G4:J7)</f>
        <v>76.753573915157716</v>
      </c>
    </row>
    <row r="8" spans="1:12" x14ac:dyDescent="0.25">
      <c r="A8" s="1" t="s">
        <v>13</v>
      </c>
    </row>
    <row r="9" spans="1:12" x14ac:dyDescent="0.25">
      <c r="A9" s="1" t="s">
        <v>23</v>
      </c>
      <c r="B9" s="1" t="str">
        <f>'3. Standardisasi Z-Score'!A10</f>
        <v>Kota Jakarta Pusat</v>
      </c>
      <c r="C9" s="1" t="str">
        <f>'3. Standardisasi Z-Score'!A11</f>
        <v>Bandung Barat</v>
      </c>
      <c r="D9" s="1" t="str">
        <f>'3. Standardisasi Z-Score'!A12</f>
        <v>Kota Tasikmalaya</v>
      </c>
      <c r="E9" s="1" t="str">
        <f>'3. Standardisasi Z-Score'!A13</f>
        <v>Kota Cilegon</v>
      </c>
    </row>
    <row r="10" spans="1:12" x14ac:dyDescent="0.25">
      <c r="A10" s="1" t="str">
        <f>'3. Standardisasi Z-Score'!A10</f>
        <v>Kota Jakarta Pusat</v>
      </c>
      <c r="B10" s="2">
        <f>SUMPRODUCT('3. Standardisasi Z-Score'!$B10:$D10, '3. Standardisasi Z-Score'!$B10:$D10)</f>
        <v>3.5800230825240762</v>
      </c>
      <c r="C10" s="2">
        <f>SUMPRODUCT('3. Standardisasi Z-Score'!$B10:$D10, '3. Standardisasi Z-Score'!$B11:$D11)</f>
        <v>-3.8966387576161736</v>
      </c>
      <c r="D10" s="2">
        <f>SUMPRODUCT('3. Standardisasi Z-Score'!$B10:$D10, '3. Standardisasi Z-Score'!$B12:$D12)</f>
        <v>-0.53047560290667217</v>
      </c>
      <c r="E10" s="2">
        <f>SUMPRODUCT('3. Standardisasi Z-Score'!$B10:$D10, '3. Standardisasi Z-Score'!$B13:$D13)</f>
        <v>0.84709127799877093</v>
      </c>
      <c r="G10">
        <f>B10*B10</f>
        <v>12.816565271405189</v>
      </c>
      <c r="H10">
        <f t="shared" ref="H10:H13" si="4">C10*C10</f>
        <v>15.183793607356517</v>
      </c>
      <c r="I10">
        <f t="shared" ref="I10:I13" si="5">D10*D10</f>
        <v>0.28140436527919732</v>
      </c>
      <c r="J10">
        <f t="shared" ref="J10:J13" si="6">E10*E10</f>
        <v>0.71756363326159101</v>
      </c>
    </row>
    <row r="11" spans="1:12" x14ac:dyDescent="0.25">
      <c r="A11" s="1" t="str">
        <f>'3. Standardisasi Z-Score'!A11</f>
        <v>Bandung Barat</v>
      </c>
      <c r="B11" s="2">
        <f>SUMPRODUCT('3. Standardisasi Z-Score'!$B11:$D11, '3. Standardisasi Z-Score'!$B10:$D10)</f>
        <v>-3.8966387576161736</v>
      </c>
      <c r="C11" s="2">
        <f>SUMPRODUCT('3. Standardisasi Z-Score'!$B11:$D11, '3. Standardisasi Z-Score'!$B11:$D11)</f>
        <v>4.4638527385591988</v>
      </c>
      <c r="D11" s="2">
        <f>SUMPRODUCT('3. Standardisasi Z-Score'!$B11:$D11, '3. Standardisasi Z-Score'!$B12:$D12)</f>
        <v>-0.11282886841710127</v>
      </c>
      <c r="E11" s="2">
        <f>SUMPRODUCT('3. Standardisasi Z-Score'!$B11:$D11, '3. Standardisasi Z-Score'!$B13:$D13)</f>
        <v>-0.45438511252592362</v>
      </c>
      <c r="G11">
        <f t="shared" ref="G11:G13" si="7">B11*B11</f>
        <v>15.183793607356517</v>
      </c>
      <c r="H11">
        <f t="shared" si="4"/>
        <v>19.925981271542458</v>
      </c>
      <c r="I11">
        <f t="shared" si="5"/>
        <v>1.2730353548283552E-2</v>
      </c>
      <c r="J11">
        <f t="shared" si="6"/>
        <v>0.20646583048519626</v>
      </c>
    </row>
    <row r="12" spans="1:12" x14ac:dyDescent="0.25">
      <c r="A12" s="1" t="str">
        <f>'3. Standardisasi Z-Score'!A12</f>
        <v>Kota Tasikmalaya</v>
      </c>
      <c r="B12" s="2">
        <f>SUMPRODUCT('3. Standardisasi Z-Score'!$B12:$D12, '3. Standardisasi Z-Score'!$B10:$D10)</f>
        <v>-0.53047560290667217</v>
      </c>
      <c r="C12" s="2">
        <f>SUMPRODUCT('3. Standardisasi Z-Score'!$B12:$D12, '3. Standardisasi Z-Score'!$B11:$D11)</f>
        <v>-0.11282886841710127</v>
      </c>
      <c r="D12" s="2">
        <f>SUMPRODUCT('3. Standardisasi Z-Score'!$B12:$D12, '3. Standardisasi Z-Score'!$B12:$D12)</f>
        <v>2.4960674078566329</v>
      </c>
      <c r="E12" s="2">
        <f>SUMPRODUCT('3. Standardisasi Z-Score'!$B12:$D12, '3. Standardisasi Z-Score'!$B13:$D13)</f>
        <v>-1.8527629365328628</v>
      </c>
      <c r="G12">
        <f t="shared" si="7"/>
        <v>0.28140436527919732</v>
      </c>
      <c r="H12">
        <f t="shared" si="4"/>
        <v>1.2730353548283552E-2</v>
      </c>
      <c r="I12">
        <f t="shared" si="5"/>
        <v>6.2303525045641308</v>
      </c>
      <c r="J12">
        <f t="shared" si="6"/>
        <v>3.4327304989898773</v>
      </c>
    </row>
    <row r="13" spans="1:12" x14ac:dyDescent="0.25">
      <c r="A13" s="1" t="str">
        <f>'3. Standardisasi Z-Score'!A13</f>
        <v>Kota Cilegon</v>
      </c>
      <c r="B13" s="2">
        <f>SUMPRODUCT('3. Standardisasi Z-Score'!$B13:$D13, '3. Standardisasi Z-Score'!$B10:$D10)</f>
        <v>0.84709127799877093</v>
      </c>
      <c r="C13" s="2">
        <f>SUMPRODUCT('3. Standardisasi Z-Score'!$B13:$D13, '3. Standardisasi Z-Score'!$B11:$D11)</f>
        <v>-0.45438511252592362</v>
      </c>
      <c r="D13" s="2">
        <f>SUMPRODUCT('3. Standardisasi Z-Score'!$B13:$D13, '3. Standardisasi Z-Score'!$B12:$D12)</f>
        <v>-1.8527629365328628</v>
      </c>
      <c r="E13" s="2">
        <f>SUMPRODUCT('3. Standardisasi Z-Score'!$B13:$D13, '3. Standardisasi Z-Score'!$B13:$D13)</f>
        <v>1.4600567710600181</v>
      </c>
      <c r="G13">
        <f t="shared" si="7"/>
        <v>0.71756363326159101</v>
      </c>
      <c r="H13">
        <f t="shared" si="4"/>
        <v>0.20646583048519626</v>
      </c>
      <c r="I13">
        <f t="shared" si="5"/>
        <v>3.4327304989898773</v>
      </c>
      <c r="J13">
        <f t="shared" si="6"/>
        <v>2.1317657747182062</v>
      </c>
      <c r="L13">
        <f>SUM(G10:J13)</f>
        <v>80.774041400071312</v>
      </c>
    </row>
    <row r="14" spans="1:12" x14ac:dyDescent="0.25">
      <c r="A14" s="1" t="s">
        <v>14</v>
      </c>
    </row>
    <row r="15" spans="1:12" x14ac:dyDescent="0.25">
      <c r="A15" s="1" t="s">
        <v>23</v>
      </c>
      <c r="B15" s="1" t="str">
        <f>'3. Standardisasi Z-Score'!A16</f>
        <v>Kota Jakarta Pusat</v>
      </c>
      <c r="C15" s="1" t="str">
        <f>'3. Standardisasi Z-Score'!A17</f>
        <v>Bandung Barat</v>
      </c>
      <c r="D15" s="1" t="str">
        <f>'3. Standardisasi Z-Score'!A18</f>
        <v>Kota Tasikmalaya</v>
      </c>
      <c r="E15" s="1" t="str">
        <f>'3. Standardisasi Z-Score'!A19</f>
        <v>Kota Cilegon</v>
      </c>
    </row>
    <row r="16" spans="1:12" x14ac:dyDescent="0.25">
      <c r="A16" s="1" t="str">
        <f>'3. Standardisasi Z-Score'!A16</f>
        <v>Kota Jakarta Pusat</v>
      </c>
      <c r="B16" s="2">
        <f>SUMPRODUCT('3. Standardisasi Z-Score'!$B16:$D16, '3. Standardisasi Z-Score'!$B16:$D16)</f>
        <v>3.8387521416856405</v>
      </c>
      <c r="C16" s="2">
        <f>SUMPRODUCT('3. Standardisasi Z-Score'!$B16:$D16, '3. Standardisasi Z-Score'!$B17:$D17)</f>
        <v>-4.1580262096166045</v>
      </c>
      <c r="D16" s="2">
        <f>SUMPRODUCT('3. Standardisasi Z-Score'!$B16:$D16, '3. Standardisasi Z-Score'!$B18:$D18)</f>
        <v>-0.65677046400752492</v>
      </c>
      <c r="E16" s="2">
        <f>SUMPRODUCT('3. Standardisasi Z-Score'!$B16:$D16, '3. Standardisasi Z-Score'!$B19:$D19)</f>
        <v>0.97604453193848451</v>
      </c>
      <c r="G16">
        <f>B16*B16</f>
        <v>14.736018005296092</v>
      </c>
      <c r="H16">
        <f t="shared" ref="H16:H19" si="8">C16*C16</f>
        <v>17.289181959858627</v>
      </c>
      <c r="I16">
        <f t="shared" ref="I16:I19" si="9">D16*D16</f>
        <v>0.4313474423926596</v>
      </c>
      <c r="J16">
        <f t="shared" ref="J16:J19" si="10">E16*E16</f>
        <v>0.95266292832701527</v>
      </c>
    </row>
    <row r="17" spans="1:12" x14ac:dyDescent="0.25">
      <c r="A17" s="1" t="str">
        <f>'3. Standardisasi Z-Score'!A17</f>
        <v>Bandung Barat</v>
      </c>
      <c r="B17" s="2">
        <f>SUMPRODUCT('3. Standardisasi Z-Score'!$B17:$D17, '3. Standardisasi Z-Score'!$B16:$D16)</f>
        <v>-4.1580262096166045</v>
      </c>
      <c r="C17" s="2">
        <f>SUMPRODUCT('3. Standardisasi Z-Score'!$B17:$D17, '3. Standardisasi Z-Score'!$B17:$D17)</f>
        <v>4.5620909732726584</v>
      </c>
      <c r="D17" s="2">
        <f>SUMPRODUCT('3. Standardisasi Z-Score'!$B17:$D17, '3. Standardisasi Z-Score'!$B18:$D18)</f>
        <v>0.39119224516317508</v>
      </c>
      <c r="E17" s="2">
        <f>SUMPRODUCT('3. Standardisasi Z-Score'!$B17:$D17, '3. Standardisasi Z-Score'!$B19:$D19)</f>
        <v>-0.79525700881922623</v>
      </c>
      <c r="G17">
        <f t="shared" ref="G17:G19" si="11">B17*B17</f>
        <v>17.289181959858627</v>
      </c>
      <c r="H17">
        <f t="shared" si="8"/>
        <v>20.812674048415872</v>
      </c>
      <c r="I17">
        <f t="shared" si="9"/>
        <v>0.15303137267580569</v>
      </c>
      <c r="J17">
        <f t="shared" si="10"/>
        <v>0.63243371007610283</v>
      </c>
    </row>
    <row r="18" spans="1:12" x14ac:dyDescent="0.25">
      <c r="A18" s="1" t="str">
        <f>'3. Standardisasi Z-Score'!A18</f>
        <v>Kota Tasikmalaya</v>
      </c>
      <c r="B18" s="2">
        <f>SUMPRODUCT('3. Standardisasi Z-Score'!$B18:$D18, '3. Standardisasi Z-Score'!$B16:$D16)</f>
        <v>-0.65677046400752492</v>
      </c>
      <c r="C18" s="2">
        <f>SUMPRODUCT('3. Standardisasi Z-Score'!$B18:$D18, '3. Standardisasi Z-Score'!$B17:$D17)</f>
        <v>0.39119224516317508</v>
      </c>
      <c r="D18" s="2">
        <f>SUMPRODUCT('3. Standardisasi Z-Score'!$B18:$D18, '3. Standardisasi Z-Score'!$B18:$D18)</f>
        <v>2.0227613135027012</v>
      </c>
      <c r="E18" s="2">
        <f>SUMPRODUCT('3. Standardisasi Z-Score'!$B18:$D18, '3. Standardisasi Z-Score'!$B19:$D19)</f>
        <v>-1.7571830946583471</v>
      </c>
      <c r="G18">
        <f t="shared" si="11"/>
        <v>0.4313474423926596</v>
      </c>
      <c r="H18">
        <f t="shared" si="8"/>
        <v>0.15303137267580569</v>
      </c>
      <c r="I18">
        <f t="shared" si="9"/>
        <v>4.0915633314031732</v>
      </c>
      <c r="J18">
        <f t="shared" si="10"/>
        <v>3.0876924281530855</v>
      </c>
    </row>
    <row r="19" spans="1:12" x14ac:dyDescent="0.25">
      <c r="A19" s="1" t="str">
        <f>'3. Standardisasi Z-Score'!A19</f>
        <v>Kota Cilegon</v>
      </c>
      <c r="B19" s="2">
        <f>SUMPRODUCT('3. Standardisasi Z-Score'!$B19:$D19, '3. Standardisasi Z-Score'!$B16:$D16)</f>
        <v>0.97604453193848451</v>
      </c>
      <c r="C19" s="2">
        <f>SUMPRODUCT('3. Standardisasi Z-Score'!$B19:$D19, '3. Standardisasi Z-Score'!$B17:$D17)</f>
        <v>-0.79525700881922623</v>
      </c>
      <c r="D19" s="2">
        <f>SUMPRODUCT('3. Standardisasi Z-Score'!$B19:$D19, '3. Standardisasi Z-Score'!$B18:$D18)</f>
        <v>-1.7571830946583471</v>
      </c>
      <c r="E19" s="2">
        <f>SUMPRODUCT('3. Standardisasi Z-Score'!$B19:$D19, '3. Standardisasi Z-Score'!$B19:$D19)</f>
        <v>1.5763955715390854</v>
      </c>
      <c r="G19">
        <f t="shared" si="11"/>
        <v>0.95266292832701527</v>
      </c>
      <c r="H19">
        <f t="shared" si="8"/>
        <v>0.63243371007610283</v>
      </c>
      <c r="I19">
        <f t="shared" si="9"/>
        <v>3.0876924281530855</v>
      </c>
      <c r="J19">
        <f t="shared" si="10"/>
        <v>2.4850229979680396</v>
      </c>
      <c r="L19">
        <f>SUM(G16:J19)</f>
        <v>87.217978066049795</v>
      </c>
    </row>
    <row r="20" spans="1:12" x14ac:dyDescent="0.25">
      <c r="A20" s="1" t="s">
        <v>27</v>
      </c>
    </row>
    <row r="21" spans="1:12" x14ac:dyDescent="0.25">
      <c r="A21" s="1" t="s">
        <v>0</v>
      </c>
    </row>
    <row r="22" spans="1:12" x14ac:dyDescent="0.25">
      <c r="A22" s="1" t="s">
        <v>26</v>
      </c>
      <c r="B22" s="1" t="str">
        <f>'3. Standardisasi Z-Score'!A23</f>
        <v>PPM</v>
      </c>
      <c r="C22" s="1" t="str">
        <f>'3. Standardisasi Z-Score'!A24</f>
        <v>RLS</v>
      </c>
      <c r="D22" s="1" t="str">
        <f>'3. Standardisasi Z-Score'!A25</f>
        <v>TPT</v>
      </c>
    </row>
    <row r="23" spans="1:12" x14ac:dyDescent="0.25">
      <c r="A23" s="1" t="str">
        <f>'3. Standardisasi Z-Score'!A23</f>
        <v>PPM</v>
      </c>
      <c r="B23" s="2">
        <f>SUMPRODUCT('3. Standardisasi Z-Score'!$B23:$E23, '3. Standardisasi Z-Score'!$B23:$E23)</f>
        <v>3.9999999999999969</v>
      </c>
      <c r="C23" s="2">
        <f>SUMPRODUCT('3. Standardisasi Z-Score'!$B23:$E23, '3. Standardisasi Z-Score'!$B24:$E24)</f>
        <v>-2.7077330636924533</v>
      </c>
      <c r="D23" s="2">
        <f>SUMPRODUCT('3. Standardisasi Z-Score'!$B23:$E23, '3. Standardisasi Z-Score'!$B25:$E25)</f>
        <v>-2.6419358705699763</v>
      </c>
      <c r="G23">
        <f>B23*B23</f>
        <v>15.999999999999975</v>
      </c>
      <c r="H23">
        <f t="shared" ref="H23:H25" si="12">C23*C23</f>
        <v>7.3318183442133193</v>
      </c>
      <c r="I23">
        <f t="shared" ref="I23:I25" si="13">D23*D23</f>
        <v>6.9798251442043382</v>
      </c>
    </row>
    <row r="24" spans="1:12" x14ac:dyDescent="0.25">
      <c r="A24" s="1" t="str">
        <f>'3. Standardisasi Z-Score'!A24</f>
        <v>RLS</v>
      </c>
      <c r="B24" s="2">
        <f>SUMPRODUCT('3. Standardisasi Z-Score'!$B24:$E24, '3. Standardisasi Z-Score'!$B23:$E23)</f>
        <v>-2.7077330636924533</v>
      </c>
      <c r="C24" s="2">
        <f>SUMPRODUCT('3. Standardisasi Z-Score'!$B24:$E24, '3. Standardisasi Z-Score'!$B24:$E24)</f>
        <v>3.9999999999999085</v>
      </c>
      <c r="D24" s="2">
        <f>SUMPRODUCT('3. Standardisasi Z-Score'!$B24:$E24, '3. Standardisasi Z-Score'!$B25:$E25)</f>
        <v>-0.25523218676660675</v>
      </c>
      <c r="G24">
        <f t="shared" ref="G24:G25" si="14">B24*B24</f>
        <v>7.3318183442133193</v>
      </c>
      <c r="H24">
        <f t="shared" si="12"/>
        <v>15.999999999999268</v>
      </c>
      <c r="I24">
        <f t="shared" si="13"/>
        <v>6.5143469161664025E-2</v>
      </c>
    </row>
    <row r="25" spans="1:12" x14ac:dyDescent="0.25">
      <c r="A25" s="1" t="str">
        <f>'3. Standardisasi Z-Score'!A25</f>
        <v>TPT</v>
      </c>
      <c r="B25" s="2">
        <f>SUMPRODUCT('3. Standardisasi Z-Score'!$B25:$E25, '3. Standardisasi Z-Score'!$B23:$E23)</f>
        <v>-2.6419358705699763</v>
      </c>
      <c r="C25" s="2">
        <f>SUMPRODUCT('3. Standardisasi Z-Score'!$B25:$E25, '3. Standardisasi Z-Score'!$B24:$E24)</f>
        <v>-0.25523218676660675</v>
      </c>
      <c r="D25" s="2">
        <f>SUMPRODUCT('3. Standardisasi Z-Score'!$B25:$E25, '3. Standardisasi Z-Score'!$B25:$E25)</f>
        <v>3.9999999999999796</v>
      </c>
      <c r="G25">
        <f t="shared" si="14"/>
        <v>6.9798251442043382</v>
      </c>
      <c r="H25">
        <f t="shared" si="12"/>
        <v>6.5143469161664025E-2</v>
      </c>
      <c r="I25">
        <f t="shared" si="13"/>
        <v>15.999999999999837</v>
      </c>
      <c r="L25">
        <f>SUM(G23:I25)</f>
        <v>76.753573915157716</v>
      </c>
    </row>
    <row r="26" spans="1:12" x14ac:dyDescent="0.25">
      <c r="A26" s="1" t="s">
        <v>13</v>
      </c>
    </row>
    <row r="27" spans="1:12" x14ac:dyDescent="0.25">
      <c r="A27" s="1" t="s">
        <v>26</v>
      </c>
      <c r="B27" s="1" t="str">
        <f>'3. Standardisasi Z-Score'!A28</f>
        <v>PPM</v>
      </c>
      <c r="C27" s="1" t="str">
        <f>'3. Standardisasi Z-Score'!A29</f>
        <v>RLS</v>
      </c>
      <c r="D27" s="1" t="str">
        <f>'3. Standardisasi Z-Score'!A30</f>
        <v>TPT</v>
      </c>
    </row>
    <row r="28" spans="1:12" x14ac:dyDescent="0.25">
      <c r="A28" s="1" t="str">
        <f>'3. Standardisasi Z-Score'!A28</f>
        <v>PPM</v>
      </c>
      <c r="B28" s="2">
        <f>SUMPRODUCT('3. Standardisasi Z-Score'!$B28:$E28, '3. Standardisasi Z-Score'!$B28:$E28)</f>
        <v>4.0000000000000098</v>
      </c>
      <c r="C28" s="2">
        <f>SUMPRODUCT('3. Standardisasi Z-Score'!$B28:$E28, '3. Standardisasi Z-Score'!$B29:$E29)</f>
        <v>-2.8465748446823653</v>
      </c>
      <c r="D28" s="2">
        <f>SUMPRODUCT('3. Standardisasi Z-Score'!$B28:$E28, '3. Standardisasi Z-Score'!$B30:$E30)</f>
        <v>0.14860986533004572</v>
      </c>
      <c r="G28">
        <f>B28*B28</f>
        <v>16.000000000000078</v>
      </c>
      <c r="H28">
        <f t="shared" ref="H28:H30" si="15">C28*C28</f>
        <v>8.1029883463784316</v>
      </c>
      <c r="I28">
        <f t="shared" ref="I28:I30" si="16">D28*D28</f>
        <v>2.2084892073414325E-2</v>
      </c>
    </row>
    <row r="29" spans="1:12" x14ac:dyDescent="0.25">
      <c r="A29" s="1" t="str">
        <f>'3. Standardisasi Z-Score'!A29</f>
        <v>RLS</v>
      </c>
      <c r="B29" s="2">
        <f>SUMPRODUCT('3. Standardisasi Z-Score'!$B29:$E29, '3. Standardisasi Z-Score'!$B28:$E28)</f>
        <v>-2.8465748446823653</v>
      </c>
      <c r="C29" s="2">
        <f>SUMPRODUCT('3. Standardisasi Z-Score'!$B29:$E29, '3. Standardisasi Z-Score'!$B29:$E29)</f>
        <v>3.9999999999999325</v>
      </c>
      <c r="D29" s="2">
        <f>SUMPRODUCT('3. Standardisasi Z-Score'!$B29:$E29, '3. Standardisasi Z-Score'!$B30:$E30)</f>
        <v>-2.8743603569462377</v>
      </c>
      <c r="G29">
        <f t="shared" ref="G29:G30" si="17">B29*B29</f>
        <v>8.1029883463784316</v>
      </c>
      <c r="H29">
        <f t="shared" si="15"/>
        <v>15.99999999999946</v>
      </c>
      <c r="I29">
        <f t="shared" si="16"/>
        <v>8.2619474615841035</v>
      </c>
    </row>
    <row r="30" spans="1:12" x14ac:dyDescent="0.25">
      <c r="A30" s="1" t="str">
        <f>'3. Standardisasi Z-Score'!A30</f>
        <v>TPT</v>
      </c>
      <c r="B30" s="2">
        <f>SUMPRODUCT('3. Standardisasi Z-Score'!$B30:$E30, '3. Standardisasi Z-Score'!$B28:$E28)</f>
        <v>0.14860986533004572</v>
      </c>
      <c r="C30" s="2">
        <f>SUMPRODUCT('3. Standardisasi Z-Score'!$B30:$E30, '3. Standardisasi Z-Score'!$B29:$E29)</f>
        <v>-2.8743603569462377</v>
      </c>
      <c r="D30" s="2">
        <f>SUMPRODUCT('3. Standardisasi Z-Score'!$B30:$E30, '3. Standardisasi Z-Score'!$B30:$E30)</f>
        <v>3.9999999999999831</v>
      </c>
      <c r="G30">
        <f t="shared" si="17"/>
        <v>2.2084892073414325E-2</v>
      </c>
      <c r="H30">
        <f t="shared" si="15"/>
        <v>8.2619474615841035</v>
      </c>
      <c r="I30">
        <f t="shared" si="16"/>
        <v>15.999999999999865</v>
      </c>
      <c r="L30">
        <f>SUM(G28:I30)</f>
        <v>80.774041400071297</v>
      </c>
    </row>
    <row r="31" spans="1:12" x14ac:dyDescent="0.25">
      <c r="A31" s="1" t="s">
        <v>14</v>
      </c>
    </row>
    <row r="32" spans="1:12" x14ac:dyDescent="0.25">
      <c r="A32" s="1" t="s">
        <v>26</v>
      </c>
      <c r="B32" s="1" t="str">
        <f>'3. Standardisasi Z-Score'!A33</f>
        <v>PPM</v>
      </c>
      <c r="C32" s="1" t="str">
        <f>'3. Standardisasi Z-Score'!A34</f>
        <v>RLS</v>
      </c>
      <c r="D32" s="1" t="str">
        <f>'3. Standardisasi Z-Score'!A35</f>
        <v>TPT</v>
      </c>
    </row>
    <row r="33" spans="1:12" x14ac:dyDescent="0.25">
      <c r="A33" s="1" t="str">
        <f>'3. Standardisasi Z-Score'!A33</f>
        <v>PPM</v>
      </c>
      <c r="B33" s="2">
        <f>SUMPRODUCT('3. Standardisasi Z-Score'!$B33:$E33, '3. Standardisasi Z-Score'!$B33:$E33)</f>
        <v>3.9999999999999964</v>
      </c>
      <c r="C33" s="2">
        <f>SUMPRODUCT('3. Standardisasi Z-Score'!$B33:$E33, '3. Standardisasi Z-Score'!$B34:$E34)</f>
        <v>-2.9108770060715576</v>
      </c>
      <c r="D33" s="2">
        <f>SUMPRODUCT('3. Standardisasi Z-Score'!$B33:$E33, '3. Standardisasi Z-Score'!$B35:$E35)</f>
        <v>0.7708137244811748</v>
      </c>
      <c r="G33">
        <f>B33*B33</f>
        <v>15.999999999999972</v>
      </c>
      <c r="H33">
        <f t="shared" ref="H33:H35" si="18">C33*C33</f>
        <v>8.4732049444761142</v>
      </c>
      <c r="I33">
        <f t="shared" ref="I33:I35" si="19">D33*D33</f>
        <v>0.5941537978485405</v>
      </c>
    </row>
    <row r="34" spans="1:12" x14ac:dyDescent="0.25">
      <c r="A34" s="1" t="str">
        <f>'3. Standardisasi Z-Score'!A34</f>
        <v>RLS</v>
      </c>
      <c r="B34" s="2">
        <f>SUMPRODUCT('3. Standardisasi Z-Score'!$B34:$E34, '3. Standardisasi Z-Score'!$B33:$E33)</f>
        <v>-2.9108770060715576</v>
      </c>
      <c r="C34" s="2">
        <f>SUMPRODUCT('3. Standardisasi Z-Score'!$B34:$E34, '3. Standardisasi Z-Score'!$B34:$E34)</f>
        <v>4.0000000000000622</v>
      </c>
      <c r="D34" s="2">
        <f>SUMPRODUCT('3. Standardisasi Z-Score'!$B34:$E34, '3. Standardisasi Z-Score'!$B35:$E35)</f>
        <v>-3.2467876879617306</v>
      </c>
      <c r="G34">
        <f t="shared" ref="G34:G35" si="20">B34*B34</f>
        <v>8.4732049444761142</v>
      </c>
      <c r="H34">
        <f t="shared" si="18"/>
        <v>16.000000000000497</v>
      </c>
      <c r="I34">
        <f t="shared" si="19"/>
        <v>10.54163029069988</v>
      </c>
    </row>
    <row r="35" spans="1:12" x14ac:dyDescent="0.25">
      <c r="A35" s="1" t="str">
        <f>'3. Standardisasi Z-Score'!A35</f>
        <v>TPT</v>
      </c>
      <c r="B35" s="2">
        <f>SUMPRODUCT('3. Standardisasi Z-Score'!$B35:$E35, '3. Standardisasi Z-Score'!$B33:$E33)</f>
        <v>0.7708137244811748</v>
      </c>
      <c r="C35" s="2">
        <f>SUMPRODUCT('3. Standardisasi Z-Score'!$B35:$E35, '3. Standardisasi Z-Score'!$B34:$E34)</f>
        <v>-3.2467876879617306</v>
      </c>
      <c r="D35" s="2">
        <f>SUMPRODUCT('3. Standardisasi Z-Score'!$B35:$E35, '3. Standardisasi Z-Score'!$B35:$E35)</f>
        <v>4.0000000000000266</v>
      </c>
      <c r="G35">
        <f t="shared" si="20"/>
        <v>0.5941537978485405</v>
      </c>
      <c r="H35">
        <f t="shared" si="18"/>
        <v>10.54163029069988</v>
      </c>
      <c r="I35">
        <f t="shared" si="19"/>
        <v>16.000000000000213</v>
      </c>
      <c r="L35">
        <f>SUM(G33:I35)</f>
        <v>87.217978066049753</v>
      </c>
    </row>
    <row r="37" spans="1:12" x14ac:dyDescent="0.25">
      <c r="A37" s="6" t="str">
        <f>A1</f>
        <v>Matriks W (Produk Skalar antar Wilayah)</v>
      </c>
      <c r="B37" s="8" t="s">
        <v>77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6" t="str">
        <f t="shared" ref="A38:E71" si="21">A2</f>
        <v>Data Tahun 2020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6" t="str">
        <f t="shared" si="21"/>
        <v>Score</v>
      </c>
      <c r="B39" s="6" t="str">
        <f>B3</f>
        <v>Kota Jakarta Pusat</v>
      </c>
      <c r="C39" s="6" t="str">
        <f t="shared" ref="C39:E39" si="22">C3</f>
        <v>Bandung Barat</v>
      </c>
      <c r="D39" s="6" t="str">
        <f t="shared" si="22"/>
        <v>Kota Tasikmalaya</v>
      </c>
      <c r="E39" s="6" t="str">
        <f t="shared" si="22"/>
        <v>Kota Cilegon</v>
      </c>
      <c r="F39" s="5"/>
      <c r="G39" s="5"/>
      <c r="H39" s="5"/>
      <c r="I39" s="5"/>
      <c r="J39" s="5"/>
      <c r="K39" s="5"/>
      <c r="L39" s="5"/>
    </row>
    <row r="40" spans="1:12" x14ac:dyDescent="0.25">
      <c r="A40" s="6" t="str">
        <f t="shared" si="21"/>
        <v>Kota Jakarta Pusat</v>
      </c>
      <c r="B40" cm="1">
        <f t="array" ref="B40:E43">MMULT('3. Standardisasi Z-Score'!G41:I44,'3. Standardisasi Z-Score'!K41:N43)</f>
        <v>1.2798207543977944</v>
      </c>
      <c r="C40" s="7">
        <v>-0.71443137818181157</v>
      </c>
      <c r="D40" s="7">
        <v>-0.41725632029939569</v>
      </c>
      <c r="E40" s="7">
        <v>1.852383371363921E-2</v>
      </c>
      <c r="F40" s="5"/>
      <c r="G40" s="5">
        <f>B40*B40</f>
        <v>1.6379411633873395</v>
      </c>
      <c r="H40" s="5">
        <f t="shared" ref="H40:H43" si="23">C40*C40</f>
        <v>0.51041219413076266</v>
      </c>
      <c r="I40" s="5">
        <f t="shared" ref="I40:I43" si="24">D40*D40</f>
        <v>0.17410283682979188</v>
      </c>
      <c r="J40" s="5">
        <f t="shared" ref="J40:J43" si="25">E40*E40</f>
        <v>3.4313241545055661E-4</v>
      </c>
      <c r="K40" s="5"/>
      <c r="L40" s="5"/>
    </row>
    <row r="41" spans="1:12" x14ac:dyDescent="0.25">
      <c r="A41" s="6" t="str">
        <f t="shared" si="21"/>
        <v>Bandung Barat</v>
      </c>
      <c r="B41" s="7">
        <v>-0.71443137818181157</v>
      </c>
      <c r="C41" s="7">
        <v>0.73706237839498923</v>
      </c>
      <c r="D41" s="7">
        <v>-0.30219016014399747</v>
      </c>
      <c r="E41" s="7">
        <v>-1.6531437469076453E-3</v>
      </c>
      <c r="F41" s="5"/>
      <c r="G41" s="5">
        <f t="shared" ref="G41:G43" si="26">B41*B41</f>
        <v>0.51041219413076266</v>
      </c>
      <c r="H41" s="5">
        <f t="shared" si="23"/>
        <v>0.54326094964527827</v>
      </c>
      <c r="I41" s="5">
        <f t="shared" si="24"/>
        <v>9.131889288785483E-2</v>
      </c>
      <c r="J41" s="5">
        <f t="shared" si="25"/>
        <v>2.7328842479398485E-6</v>
      </c>
      <c r="K41" s="5"/>
      <c r="L41" s="5"/>
    </row>
    <row r="42" spans="1:12" x14ac:dyDescent="0.25">
      <c r="A42" s="6" t="str">
        <f t="shared" si="21"/>
        <v>Kota Tasikmalaya</v>
      </c>
      <c r="B42" s="7">
        <v>-0.41725632029939569</v>
      </c>
      <c r="C42" s="7">
        <v>-0.30219016014399747</v>
      </c>
      <c r="D42" s="7">
        <v>0.98259931223157315</v>
      </c>
      <c r="E42" s="7">
        <v>-1.9783536799602573E-2</v>
      </c>
      <c r="F42" s="5"/>
      <c r="G42" s="5">
        <f t="shared" si="26"/>
        <v>0.17410283682979188</v>
      </c>
      <c r="H42" s="5">
        <f t="shared" si="23"/>
        <v>9.131889288785483E-2</v>
      </c>
      <c r="I42" s="5">
        <f t="shared" si="24"/>
        <v>0.96550140839796061</v>
      </c>
      <c r="J42" s="5">
        <f t="shared" si="25"/>
        <v>3.9138832830122919E-4</v>
      </c>
      <c r="K42" s="5"/>
      <c r="L42" s="5"/>
    </row>
    <row r="43" spans="1:12" x14ac:dyDescent="0.25">
      <c r="A43" s="6" t="str">
        <f t="shared" si="21"/>
        <v>Kota Cilegon</v>
      </c>
      <c r="B43" s="7">
        <v>1.852383371363921E-2</v>
      </c>
      <c r="C43" s="7">
        <v>-1.6531437469076453E-3</v>
      </c>
      <c r="D43" s="7">
        <v>-1.9783536799602573E-2</v>
      </c>
      <c r="E43" s="7">
        <v>5.175549756433835E-4</v>
      </c>
      <c r="F43" s="5"/>
      <c r="G43" s="5">
        <f t="shared" si="26"/>
        <v>3.4313241545055661E-4</v>
      </c>
      <c r="H43" s="5">
        <f t="shared" si="23"/>
        <v>2.7328842479398485E-6</v>
      </c>
      <c r="I43" s="5">
        <f t="shared" si="24"/>
        <v>3.9138832830122919E-4</v>
      </c>
      <c r="J43" s="5">
        <f t="shared" si="25"/>
        <v>2.6786315281322327E-7</v>
      </c>
      <c r="K43" s="5"/>
      <c r="L43" s="5">
        <f>SUM(G40:J43)</f>
        <v>4.6998461442465507</v>
      </c>
    </row>
    <row r="44" spans="1:12" x14ac:dyDescent="0.25">
      <c r="A44" s="6" t="str">
        <f t="shared" si="21"/>
        <v>Data Tahun 2021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A45" s="6" t="str">
        <f t="shared" si="21"/>
        <v>Score</v>
      </c>
      <c r="B45" s="6" t="str">
        <f t="shared" si="21"/>
        <v>Kota Jakarta Pusat</v>
      </c>
      <c r="C45" s="6" t="str">
        <f t="shared" si="21"/>
        <v>Bandung Barat</v>
      </c>
      <c r="D45" s="6" t="str">
        <f t="shared" si="21"/>
        <v>Kota Tasikmalaya</v>
      </c>
      <c r="E45" s="6" t="str">
        <f t="shared" si="21"/>
        <v>Kota Cilegon</v>
      </c>
      <c r="F45" s="5"/>
      <c r="G45" s="5"/>
      <c r="H45" s="5"/>
      <c r="I45" s="5"/>
      <c r="J45" s="5"/>
      <c r="K45" s="5"/>
      <c r="L45" s="5"/>
    </row>
    <row r="46" spans="1:12" x14ac:dyDescent="0.25">
      <c r="A46" s="6" t="str">
        <f t="shared" si="21"/>
        <v>Kota Jakarta Pusat</v>
      </c>
      <c r="B46" cm="1">
        <f t="array" ref="B46:E49">MMULT('3. Standardisasi Z-Score'!G47:I50,'3. Standardisasi Z-Score'!K47:N49)</f>
        <v>1.5725750150334146</v>
      </c>
      <c r="C46" s="7">
        <v>-1.1368102310182968</v>
      </c>
      <c r="D46" s="7">
        <v>-0.10309131061789184</v>
      </c>
      <c r="E46" s="7">
        <v>1.8631530066326497E-2</v>
      </c>
      <c r="F46" s="5"/>
      <c r="G46" s="5">
        <f>B46*B46</f>
        <v>2.472992177907344</v>
      </c>
      <c r="H46" s="5">
        <f t="shared" ref="H46:H49" si="27">C46*C46</f>
        <v>1.2923375013478733</v>
      </c>
      <c r="I46" s="5">
        <f t="shared" ref="I46:I49" si="28">D46*D46</f>
        <v>1.0627818324914658E-2</v>
      </c>
      <c r="J46" s="5">
        <f t="shared" ref="J46:J49" si="29">E46*E46</f>
        <v>3.4713391261242824E-4</v>
      </c>
      <c r="K46" s="5"/>
      <c r="L46" s="5"/>
    </row>
    <row r="47" spans="1:12" x14ac:dyDescent="0.25">
      <c r="A47" s="6" t="str">
        <f t="shared" si="21"/>
        <v>Bandung Barat</v>
      </c>
      <c r="B47" s="7">
        <v>-1.1368102310182968</v>
      </c>
      <c r="C47" s="7">
        <v>0.99262797440699035</v>
      </c>
      <c r="D47" s="7">
        <v>-0.19575997801202258</v>
      </c>
      <c r="E47" s="7">
        <v>-8.0213649442642167E-3</v>
      </c>
      <c r="F47" s="5"/>
      <c r="G47" s="5">
        <f t="shared" ref="G47:G49" si="30">B47*B47</f>
        <v>1.2923375013478733</v>
      </c>
      <c r="H47" s="5">
        <f t="shared" si="27"/>
        <v>0.98531029557532468</v>
      </c>
      <c r="I47" s="5">
        <f t="shared" si="28"/>
        <v>3.8321968991267566E-2</v>
      </c>
      <c r="J47" s="5">
        <f t="shared" si="29"/>
        <v>6.4342295569070875E-5</v>
      </c>
      <c r="K47" s="5"/>
      <c r="L47" s="5"/>
    </row>
    <row r="48" spans="1:12" x14ac:dyDescent="0.25">
      <c r="A48" s="6" t="str">
        <f t="shared" si="21"/>
        <v>Kota Tasikmalaya</v>
      </c>
      <c r="B48" s="7">
        <v>-0.10309131061789184</v>
      </c>
      <c r="C48" s="7">
        <v>-0.19575997801202258</v>
      </c>
      <c r="D48" s="7">
        <v>0.43439543769791877</v>
      </c>
      <c r="E48" s="7">
        <v>-9.8401889697639754E-3</v>
      </c>
      <c r="F48" s="5"/>
      <c r="G48" s="5">
        <f t="shared" si="30"/>
        <v>1.0627818324914658E-2</v>
      </c>
      <c r="H48" s="5">
        <f t="shared" si="27"/>
        <v>3.8321968991267566E-2</v>
      </c>
      <c r="I48" s="5">
        <f t="shared" si="28"/>
        <v>0.18869939629276644</v>
      </c>
      <c r="J48" s="5">
        <f t="shared" si="29"/>
        <v>9.6829318960664607E-5</v>
      </c>
      <c r="K48" s="5"/>
      <c r="L48" s="5"/>
    </row>
    <row r="49" spans="1:12" x14ac:dyDescent="0.25">
      <c r="A49" s="6" t="str">
        <f t="shared" si="21"/>
        <v>Kota Cilegon</v>
      </c>
      <c r="B49" s="7">
        <v>1.8631530066326497E-2</v>
      </c>
      <c r="C49" s="7">
        <v>-8.0213649442642167E-3</v>
      </c>
      <c r="D49" s="7">
        <v>-9.8401889697639754E-3</v>
      </c>
      <c r="E49" s="7">
        <v>4.0157286167557204E-4</v>
      </c>
      <c r="F49" s="5"/>
      <c r="G49" s="5">
        <f t="shared" si="30"/>
        <v>3.4713391261242824E-4</v>
      </c>
      <c r="H49" s="5">
        <f t="shared" si="27"/>
        <v>6.4342295569070875E-5</v>
      </c>
      <c r="I49" s="5">
        <f t="shared" si="28"/>
        <v>9.6829318960664607E-5</v>
      </c>
      <c r="J49" s="5">
        <f t="shared" si="29"/>
        <v>1.6126076323430812E-7</v>
      </c>
      <c r="K49" s="5"/>
      <c r="L49" s="5">
        <f>SUM(G46:J49)</f>
        <v>6.3305932194185912</v>
      </c>
    </row>
    <row r="50" spans="1:12" x14ac:dyDescent="0.25">
      <c r="A50" s="6" t="str">
        <f t="shared" si="21"/>
        <v>Data Tahun 2022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25">
      <c r="A51" s="6" t="str">
        <f t="shared" si="21"/>
        <v>Score</v>
      </c>
      <c r="B51" s="6" t="str">
        <f t="shared" si="21"/>
        <v>Kota Jakarta Pusat</v>
      </c>
      <c r="C51" s="6" t="str">
        <f t="shared" si="21"/>
        <v>Bandung Barat</v>
      </c>
      <c r="D51" s="6" t="str">
        <f t="shared" si="21"/>
        <v>Kota Tasikmalaya</v>
      </c>
      <c r="E51" s="6" t="str">
        <f t="shared" si="21"/>
        <v>Kota Cilegon</v>
      </c>
      <c r="F51" s="5"/>
      <c r="G51" s="5"/>
      <c r="H51" s="5"/>
      <c r="I51" s="5"/>
      <c r="J51" s="5"/>
      <c r="K51" s="5"/>
      <c r="L51" s="5"/>
    </row>
    <row r="52" spans="1:12" x14ac:dyDescent="0.25">
      <c r="A52" s="6" t="str">
        <f t="shared" si="21"/>
        <v>Kota Jakarta Pusat</v>
      </c>
      <c r="B52" cm="1">
        <f t="array" ref="B52:E55">MMULT('3. Standardisasi Z-Score'!G53:I56,'3. Standardisasi Z-Score'!K53:N55)</f>
        <v>1.6880109614349554</v>
      </c>
      <c r="C52" s="7">
        <v>-1.1868538402839823</v>
      </c>
      <c r="D52" s="7">
        <v>-0.16353337732168929</v>
      </c>
      <c r="E52" s="7">
        <v>2.1975517232050067E-2</v>
      </c>
      <c r="F52" s="5"/>
      <c r="G52" s="5">
        <f>B52*B52</f>
        <v>2.8493810059245628</v>
      </c>
      <c r="H52" s="5">
        <f t="shared" ref="H52:H55" si="31">C52*C52</f>
        <v>1.4086220381968366</v>
      </c>
      <c r="I52" s="5">
        <f t="shared" ref="I52:I55" si="32">D52*D52</f>
        <v>2.6743165498238002E-2</v>
      </c>
      <c r="J52" s="5">
        <f t="shared" ref="J52:J55" si="33">E52*E52</f>
        <v>4.8292335761612943E-4</v>
      </c>
      <c r="K52" s="5"/>
      <c r="L52" s="5"/>
    </row>
    <row r="53" spans="1:12" x14ac:dyDescent="0.25">
      <c r="A53" s="6" t="str">
        <f t="shared" si="21"/>
        <v>Bandung Barat</v>
      </c>
      <c r="B53" s="7">
        <v>-1.1868538402839823</v>
      </c>
      <c r="C53" s="7">
        <v>0.96609920001264737</v>
      </c>
      <c r="D53" s="7">
        <v>-9.3279621525447581E-2</v>
      </c>
      <c r="E53" s="7">
        <v>-1.0174594023386099E-2</v>
      </c>
      <c r="F53" s="5"/>
      <c r="G53" s="5">
        <f t="shared" ref="G53:G55" si="34">B53*B53</f>
        <v>1.4086220381968366</v>
      </c>
      <c r="H53" s="5">
        <f t="shared" si="31"/>
        <v>0.9333476642650772</v>
      </c>
      <c r="I53" s="5">
        <f t="shared" si="32"/>
        <v>8.7010877919307429E-3</v>
      </c>
      <c r="J53" s="5">
        <f t="shared" si="33"/>
        <v>1.0352236354072412E-4</v>
      </c>
      <c r="K53" s="5"/>
      <c r="L53" s="5"/>
    </row>
    <row r="54" spans="1:12" x14ac:dyDescent="0.25">
      <c r="A54" s="6" t="str">
        <f t="shared" si="21"/>
        <v>Kota Tasikmalaya</v>
      </c>
      <c r="B54" s="7">
        <v>-0.16353337732168929</v>
      </c>
      <c r="C54" s="7">
        <v>-9.3279621525447581E-2</v>
      </c>
      <c r="D54" s="7">
        <v>0.34539081967109475</v>
      </c>
      <c r="E54" s="7">
        <v>-1.0478524624444025E-2</v>
      </c>
      <c r="F54" s="5"/>
      <c r="G54" s="5">
        <f t="shared" si="34"/>
        <v>2.6743165498238002E-2</v>
      </c>
      <c r="H54" s="5">
        <f t="shared" si="31"/>
        <v>8.7010877919307429E-3</v>
      </c>
      <c r="I54" s="5">
        <f t="shared" si="32"/>
        <v>0.11929481831307069</v>
      </c>
      <c r="J54" s="5">
        <f t="shared" si="33"/>
        <v>1.0979947830507981E-4</v>
      </c>
      <c r="K54" s="5"/>
      <c r="L54" s="5"/>
    </row>
    <row r="55" spans="1:12" x14ac:dyDescent="0.25">
      <c r="A55" s="6" t="str">
        <f t="shared" si="21"/>
        <v>Kota Cilegon</v>
      </c>
      <c r="B55" s="7">
        <v>2.1975517232050067E-2</v>
      </c>
      <c r="C55" s="7">
        <v>-1.0174594023386099E-2</v>
      </c>
      <c r="D55" s="7">
        <v>-1.0478524624444025E-2</v>
      </c>
      <c r="E55" s="7">
        <v>4.9901888130256169E-4</v>
      </c>
      <c r="F55" s="5"/>
      <c r="G55" s="5">
        <f t="shared" si="34"/>
        <v>4.8292335761612943E-4</v>
      </c>
      <c r="H55" s="5">
        <f t="shared" si="31"/>
        <v>1.0352236354072412E-4</v>
      </c>
      <c r="I55" s="5">
        <f t="shared" si="32"/>
        <v>1.0979947830507981E-4</v>
      </c>
      <c r="J55" s="5">
        <f t="shared" si="33"/>
        <v>2.4901984389646013E-7</v>
      </c>
      <c r="K55" s="5"/>
      <c r="L55" s="5">
        <f>SUM(G52:J55)</f>
        <v>6.7915488108954891</v>
      </c>
    </row>
    <row r="56" spans="1:12" x14ac:dyDescent="0.25">
      <c r="A56" s="6" t="str">
        <f t="shared" si="21"/>
        <v>Matriks S (Produk Skalar antar Variabel)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25">
      <c r="A57" s="6" t="str">
        <f t="shared" si="21"/>
        <v>Data Tahun 2020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25">
      <c r="A58" s="6" t="str">
        <f t="shared" si="21"/>
        <v>Loadings</v>
      </c>
      <c r="B58" s="6" t="str">
        <f t="shared" si="21"/>
        <v>PPM</v>
      </c>
      <c r="C58" s="6" t="str">
        <f t="shared" si="21"/>
        <v>RLS</v>
      </c>
      <c r="D58" s="6" t="str">
        <f t="shared" si="21"/>
        <v>TPT</v>
      </c>
      <c r="E58" s="5"/>
      <c r="F58" s="5"/>
      <c r="G58" s="5"/>
      <c r="H58" s="5"/>
      <c r="I58" s="5"/>
      <c r="J58" s="5"/>
      <c r="K58" s="5"/>
      <c r="L58" s="5"/>
    </row>
    <row r="59" spans="1:12" x14ac:dyDescent="0.25">
      <c r="A59" s="6" t="str">
        <f t="shared" si="21"/>
        <v>PPM</v>
      </c>
      <c r="B59" cm="1">
        <f t="array" ref="B59:D61">MMULT('3. Standardisasi Z-Score'!K41:N43,'3. Standardisasi Z-Score'!G41:I44)</f>
        <v>1</v>
      </c>
      <c r="C59" s="7">
        <v>-0.8141372497034659</v>
      </c>
      <c r="D59" s="7">
        <v>-0.27808203787720759</v>
      </c>
      <c r="E59" s="5"/>
      <c r="F59" s="5"/>
      <c r="G59" s="5">
        <f>B59*B59</f>
        <v>1</v>
      </c>
      <c r="H59" s="5">
        <f t="shared" ref="H59:H61" si="35">C59*C59</f>
        <v>0.66281946135472358</v>
      </c>
      <c r="I59" s="5">
        <f t="shared" ref="I59:I61" si="36">D59*D59</f>
        <v>7.7329619789940712E-2</v>
      </c>
      <c r="J59" s="5"/>
      <c r="K59" s="5"/>
      <c r="L59" s="5"/>
    </row>
    <row r="60" spans="1:12" x14ac:dyDescent="0.25">
      <c r="A60" s="6" t="str">
        <f t="shared" si="21"/>
        <v>RLS</v>
      </c>
      <c r="B60" s="7">
        <v>-0.8141372497034659</v>
      </c>
      <c r="C60" s="7">
        <v>1.0000000000000002</v>
      </c>
      <c r="D60" s="7">
        <v>-0.33132158242198845</v>
      </c>
      <c r="E60" s="5"/>
      <c r="F60" s="5"/>
      <c r="G60" s="5">
        <f t="shared" ref="G60:G61" si="37">B60*B60</f>
        <v>0.66281946135472358</v>
      </c>
      <c r="H60" s="5">
        <f t="shared" si="35"/>
        <v>1.0000000000000004</v>
      </c>
      <c r="I60" s="5">
        <f t="shared" si="36"/>
        <v>0.10977399097861049</v>
      </c>
      <c r="J60" s="5"/>
      <c r="K60" s="5"/>
      <c r="L60" s="5"/>
    </row>
    <row r="61" spans="1:12" x14ac:dyDescent="0.25">
      <c r="A61" s="6" t="str">
        <f t="shared" si="21"/>
        <v>TPT</v>
      </c>
      <c r="B61" s="7">
        <v>-0.27808203787720759</v>
      </c>
      <c r="C61" s="7">
        <v>-0.33132158242198845</v>
      </c>
      <c r="D61" s="7">
        <v>1</v>
      </c>
      <c r="E61" s="5"/>
      <c r="F61" s="5"/>
      <c r="G61" s="5">
        <f t="shared" si="37"/>
        <v>7.7329619789940712E-2</v>
      </c>
      <c r="H61" s="5">
        <f t="shared" si="35"/>
        <v>0.10977399097861049</v>
      </c>
      <c r="I61" s="5">
        <f t="shared" si="36"/>
        <v>1</v>
      </c>
      <c r="J61" s="5"/>
      <c r="K61" s="5"/>
      <c r="L61" s="5">
        <f>SUM(G59:I61)</f>
        <v>4.6998461442465498</v>
      </c>
    </row>
    <row r="62" spans="1:12" x14ac:dyDescent="0.25">
      <c r="A62" s="6" t="str">
        <f t="shared" si="21"/>
        <v>Data Tahun 2021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25">
      <c r="A63" s="6" t="str">
        <f t="shared" si="21"/>
        <v>Loadings</v>
      </c>
      <c r="B63" s="6" t="str">
        <f t="shared" si="21"/>
        <v>PPM</v>
      </c>
      <c r="C63" s="6" t="str">
        <f t="shared" si="21"/>
        <v>RLS</v>
      </c>
      <c r="D63" s="6" t="str">
        <f t="shared" si="21"/>
        <v>TPT</v>
      </c>
      <c r="E63" s="5"/>
      <c r="F63" s="5"/>
      <c r="G63" s="5"/>
      <c r="H63" s="5"/>
      <c r="I63" s="5"/>
      <c r="J63" s="5"/>
      <c r="K63" s="5"/>
      <c r="L63" s="5"/>
    </row>
    <row r="64" spans="1:12" x14ac:dyDescent="0.25">
      <c r="A64" s="6" t="str">
        <f t="shared" si="21"/>
        <v>PPM</v>
      </c>
      <c r="B64" cm="1">
        <f t="array" ref="B64:D66">MMULT('3. Standardisasi Z-Score'!K47:N49,'3. Standardisasi Z-Score'!G47:I50)</f>
        <v>0.99999999999999989</v>
      </c>
      <c r="C64" s="7">
        <v>-0.83069770249394836</v>
      </c>
      <c r="D64" s="7">
        <v>0.45759045975840901</v>
      </c>
      <c r="E64" s="5"/>
      <c r="F64" s="5"/>
      <c r="G64" s="5">
        <f>B64*B64</f>
        <v>0.99999999999999978</v>
      </c>
      <c r="H64" s="5">
        <f t="shared" ref="H64:H66" si="38">C64*C64</f>
        <v>0.69005867292872436</v>
      </c>
      <c r="I64" s="5">
        <f t="shared" ref="I64:I66" si="39">D64*D64</f>
        <v>0.20938902886191213</v>
      </c>
      <c r="J64" s="5"/>
      <c r="K64" s="5"/>
      <c r="L64" s="5"/>
    </row>
    <row r="65" spans="1:12" x14ac:dyDescent="0.25">
      <c r="A65" s="6" t="str">
        <f t="shared" si="21"/>
        <v>RLS</v>
      </c>
      <c r="B65" s="7">
        <v>-0.83069770249394836</v>
      </c>
      <c r="C65" s="7">
        <v>0.99999999999999989</v>
      </c>
      <c r="D65" s="7">
        <v>-0.87512793802886957</v>
      </c>
      <c r="E65" s="5"/>
      <c r="F65" s="5"/>
      <c r="G65" s="5">
        <f t="shared" ref="G65:G66" si="40">B65*B65</f>
        <v>0.69005867292872436</v>
      </c>
      <c r="H65" s="5">
        <f t="shared" si="38"/>
        <v>0.99999999999999978</v>
      </c>
      <c r="I65" s="5">
        <f t="shared" si="39"/>
        <v>0.765848907918661</v>
      </c>
      <c r="J65" s="5"/>
      <c r="K65" s="5"/>
      <c r="L65" s="5"/>
    </row>
    <row r="66" spans="1:12" x14ac:dyDescent="0.25">
      <c r="A66" s="6" t="str">
        <f t="shared" si="21"/>
        <v>TPT</v>
      </c>
      <c r="B66" s="7">
        <v>0.45759045975840901</v>
      </c>
      <c r="C66" s="7">
        <v>-0.87512793802886957</v>
      </c>
      <c r="D66" s="7">
        <v>0.99999999999999967</v>
      </c>
      <c r="E66" s="5"/>
      <c r="F66" s="5"/>
      <c r="G66" s="5">
        <f t="shared" si="40"/>
        <v>0.20938902886191213</v>
      </c>
      <c r="H66" s="5">
        <f t="shared" si="38"/>
        <v>0.765848907918661</v>
      </c>
      <c r="I66" s="5">
        <f t="shared" si="39"/>
        <v>0.99999999999999933</v>
      </c>
      <c r="J66" s="5"/>
      <c r="K66" s="5"/>
      <c r="L66" s="5">
        <f>SUM(G64:I66)</f>
        <v>6.3305932194185939</v>
      </c>
    </row>
    <row r="67" spans="1:12" x14ac:dyDescent="0.25">
      <c r="A67" s="6" t="str">
        <f t="shared" si="21"/>
        <v>Data Tahun 2022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25">
      <c r="A68" s="6" t="str">
        <f t="shared" si="21"/>
        <v>Loadings</v>
      </c>
      <c r="B68" s="6" t="str">
        <f t="shared" si="21"/>
        <v>PPM</v>
      </c>
      <c r="C68" s="6" t="str">
        <f t="shared" si="21"/>
        <v>RLS</v>
      </c>
      <c r="D68" s="6" t="str">
        <f t="shared" si="21"/>
        <v>TPT</v>
      </c>
      <c r="E68" s="5"/>
      <c r="F68" s="5"/>
      <c r="G68" s="5"/>
      <c r="H68" s="5"/>
      <c r="I68" s="5"/>
      <c r="J68" s="5"/>
      <c r="K68" s="5"/>
      <c r="L68" s="5"/>
    </row>
    <row r="69" spans="1:12" x14ac:dyDescent="0.25">
      <c r="A69" s="6" t="str">
        <f t="shared" si="21"/>
        <v>PPM</v>
      </c>
      <c r="B69" cm="1">
        <f t="array" ref="B69:D71">MMULT('3. Standardisasi Z-Score'!K53:N55,'3. Standardisasi Z-Score'!G53:I56)</f>
        <v>1</v>
      </c>
      <c r="C69" s="7">
        <v>-0.82765388007181118</v>
      </c>
      <c r="D69" s="7">
        <v>0.57794062265914814</v>
      </c>
      <c r="E69" s="5"/>
      <c r="F69" s="5"/>
      <c r="G69" s="5">
        <f>B69*B69</f>
        <v>1</v>
      </c>
      <c r="H69" s="5">
        <f t="shared" ref="H69:H71" si="41">C69*C69</f>
        <v>0.68501094519792405</v>
      </c>
      <c r="I69" s="5">
        <f t="shared" ref="I69:I71" si="42">D69*D69</f>
        <v>0.33401536331964388</v>
      </c>
      <c r="J69" s="5"/>
      <c r="K69" s="5"/>
      <c r="L69" s="5"/>
    </row>
    <row r="70" spans="1:12" x14ac:dyDescent="0.25">
      <c r="A70" s="6" t="str">
        <f t="shared" si="21"/>
        <v>RLS</v>
      </c>
      <c r="B70" s="7">
        <v>-0.82765388007181118</v>
      </c>
      <c r="C70" s="7">
        <v>1</v>
      </c>
      <c r="D70" s="7">
        <v>-0.9363482775816786</v>
      </c>
      <c r="E70" s="5"/>
      <c r="F70" s="5"/>
      <c r="G70" s="5">
        <f t="shared" ref="G70:G71" si="43">B70*B70</f>
        <v>0.68501094519792405</v>
      </c>
      <c r="H70" s="5">
        <f t="shared" si="41"/>
        <v>1</v>
      </c>
      <c r="I70" s="5">
        <f t="shared" si="42"/>
        <v>0.87674809693017619</v>
      </c>
      <c r="J70" s="5"/>
      <c r="K70" s="5"/>
      <c r="L70" s="5"/>
    </row>
    <row r="71" spans="1:12" x14ac:dyDescent="0.25">
      <c r="A71" s="6" t="str">
        <f t="shared" si="21"/>
        <v>TPT</v>
      </c>
      <c r="B71" s="7">
        <v>0.57794062265914814</v>
      </c>
      <c r="C71" s="7">
        <v>-0.9363482775816786</v>
      </c>
      <c r="D71" s="7">
        <v>1</v>
      </c>
      <c r="E71" s="5"/>
      <c r="F71" s="5"/>
      <c r="G71" s="5">
        <f t="shared" si="43"/>
        <v>0.33401536331964388</v>
      </c>
      <c r="H71" s="5">
        <f t="shared" si="41"/>
        <v>0.87674809693017619</v>
      </c>
      <c r="I71" s="5">
        <f t="shared" si="42"/>
        <v>1</v>
      </c>
      <c r="J71" s="5"/>
      <c r="K71" s="5"/>
      <c r="L71" s="5">
        <f>SUM(G69:I71)</f>
        <v>6.7915488108954882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3"/>
  <sheetViews>
    <sheetView workbookViewId="0">
      <selection activeCell="B23" sqref="B23"/>
    </sheetView>
  </sheetViews>
  <sheetFormatPr defaultRowHeight="15" x14ac:dyDescent="0.25"/>
  <cols>
    <col min="1" max="1" width="38.28515625" bestFit="1" customWidth="1"/>
    <col min="13" max="17" width="12" bestFit="1" customWidth="1"/>
    <col min="20" max="21" width="12" bestFit="1" customWidth="1"/>
  </cols>
  <sheetData>
    <row r="1" spans="1:31" x14ac:dyDescent="0.25">
      <c r="A1" s="1" t="s">
        <v>20</v>
      </c>
    </row>
    <row r="2" spans="1:31" x14ac:dyDescent="0.25">
      <c r="A2" s="1" t="s">
        <v>35</v>
      </c>
    </row>
    <row r="3" spans="1:31" x14ac:dyDescent="0.25">
      <c r="A3" s="2" t="s">
        <v>21</v>
      </c>
      <c r="B3">
        <f>SUMPRODUCT('4. STATIS Intra-struktur'!$B$4:$E$7, '4. STATIS Intra-struktur'!$B$4:$E$7)</f>
        <v>76.753573915157716</v>
      </c>
      <c r="C3">
        <f>SQRT(SUMSQ('4. STATIS Intra-struktur'!$B$4:$E$7))</f>
        <v>8.7609117057049328</v>
      </c>
      <c r="D3">
        <f>SQRT(SUMSQ('4. STATIS Intra-struktur'!$B$4:$E$7))</f>
        <v>8.7609117057049328</v>
      </c>
      <c r="E3">
        <f>C3*D3</f>
        <v>76.753573915157716</v>
      </c>
      <c r="F3" s="2">
        <f>B3/E3</f>
        <v>1</v>
      </c>
      <c r="H3" s="2">
        <f>F3</f>
        <v>1</v>
      </c>
      <c r="I3" s="2">
        <f>F4</f>
        <v>0.89405232507938392</v>
      </c>
      <c r="J3" s="2">
        <f>F5</f>
        <v>0.87153298760271969</v>
      </c>
      <c r="L3">
        <v>1</v>
      </c>
      <c r="M3" cm="1">
        <f t="array" ref="M3:M5">MMULT($H$3:$J$5, L3:L5)</f>
        <v>2.7655853126821035</v>
      </c>
      <c r="N3">
        <f>M3/SUM($M$3:$M$5)</f>
        <v>0.32469613100387557</v>
      </c>
      <c r="O3">
        <f t="shared" ref="O3:V3" si="0">N3/SUM($M$3:$M$5)</f>
        <v>3.8121253032921548E-2</v>
      </c>
      <c r="P3">
        <f t="shared" si="0"/>
        <v>4.4756613770143283E-3</v>
      </c>
      <c r="Q3">
        <f t="shared" si="0"/>
        <v>5.2546921121397901E-4</v>
      </c>
      <c r="R3">
        <f t="shared" si="0"/>
        <v>6.1693204350065671E-5</v>
      </c>
      <c r="S3">
        <f t="shared" si="0"/>
        <v>7.2431483743565717E-6</v>
      </c>
      <c r="T3">
        <f t="shared" si="0"/>
        <v>8.503886112845167E-7</v>
      </c>
      <c r="U3">
        <f t="shared" si="0"/>
        <v>9.9840670496640095E-8</v>
      </c>
      <c r="V3">
        <f t="shared" si="0"/>
        <v>1.1721887326503232E-8</v>
      </c>
      <c r="W3">
        <f>V3/SUM($M$3:$M$5)</f>
        <v>1.3762191480861605E-9</v>
      </c>
      <c r="X3">
        <f t="shared" ref="X3" si="1">W3/SUM($M$3:$M$5)</f>
        <v>1.6157629661536699E-10</v>
      </c>
      <c r="Y3">
        <f>X3/SUM($M$3:$M$5)</f>
        <v>1.8970016268297547E-11</v>
      </c>
      <c r="Z3">
        <f t="shared" ref="Z3:AC3" si="2">Y3/SUM($M$3:$M$5)</f>
        <v>2.2271925075503206E-12</v>
      </c>
      <c r="AA3">
        <f t="shared" si="2"/>
        <v>2.6148562001910456E-13</v>
      </c>
      <c r="AB3">
        <f t="shared" si="2"/>
        <v>3.0699963853587408E-14</v>
      </c>
      <c r="AC3">
        <f t="shared" si="2"/>
        <v>3.6043579778601734E-15</v>
      </c>
      <c r="AD3">
        <f>AC3/SUM($M$3:$M$5)</f>
        <v>4.2317302048048451E-16</v>
      </c>
      <c r="AE3">
        <f t="shared" ref="AE3" si="3">AD3/SUM($M$3:$M$5)</f>
        <v>4.9683024372870314E-17</v>
      </c>
    </row>
    <row r="4" spans="1:31" x14ac:dyDescent="0.25">
      <c r="A4" s="2" t="s">
        <v>19</v>
      </c>
      <c r="B4">
        <f>SUMPRODUCT('4. STATIS Intra-struktur'!$B$4:$E$7, '4. STATIS Intra-struktur'!$B$10:$E$13)</f>
        <v>70.39602660001907</v>
      </c>
      <c r="C4">
        <f>SQRT(SUMSQ('4. STATIS Intra-struktur'!$B$4:$E$7))</f>
        <v>8.7609117057049328</v>
      </c>
      <c r="D4">
        <f>SQRT(SUMSQ('4. STATIS Intra-struktur'!$B$10:$E$13))</f>
        <v>8.98743797753683</v>
      </c>
      <c r="E4">
        <f t="shared" ref="E4:E11" si="4">C4*D4</f>
        <v>78.738150581699486</v>
      </c>
      <c r="F4" s="2">
        <f t="shared" ref="F4:F11" si="5">B4/E4</f>
        <v>0.89405232507938392</v>
      </c>
      <c r="H4" s="2">
        <f>F6</f>
        <v>0.89405232507938392</v>
      </c>
      <c r="I4" s="2">
        <f>F7</f>
        <v>1</v>
      </c>
      <c r="J4" s="2">
        <f>F8</f>
        <v>0.99314315465693881</v>
      </c>
      <c r="L4">
        <v>1</v>
      </c>
      <c r="M4">
        <v>2.8871954797363228</v>
      </c>
      <c r="N4">
        <f t="shared" ref="N4:V5" si="6">M4/SUM($M$3:$M$5)</f>
        <v>0.33897388644037141</v>
      </c>
      <c r="O4">
        <f t="shared" si="6"/>
        <v>3.9797546267626993E-2</v>
      </c>
      <c r="P4">
        <f t="shared" si="6"/>
        <v>4.6724681525062662E-3</v>
      </c>
      <c r="Q4">
        <f t="shared" si="6"/>
        <v>5.4857549481497462E-4</v>
      </c>
      <c r="R4">
        <f t="shared" si="6"/>
        <v>6.4406019193533854E-5</v>
      </c>
      <c r="S4">
        <f t="shared" si="6"/>
        <v>7.5616489390524961E-6</v>
      </c>
      <c r="T4">
        <f t="shared" si="6"/>
        <v>8.8778246805873488E-7</v>
      </c>
      <c r="U4">
        <f t="shared" si="6"/>
        <v>1.0423093123537918E-7</v>
      </c>
      <c r="V4">
        <f t="shared" si="6"/>
        <v>1.2237329995883165E-8</v>
      </c>
      <c r="W4">
        <f t="shared" ref="W4:AE4" si="7">V4/SUM($M$3:$M$5)</f>
        <v>1.4367351769117778E-9</v>
      </c>
      <c r="X4">
        <f t="shared" si="7"/>
        <v>1.6868123759595847E-10</v>
      </c>
      <c r="Y4">
        <f t="shared" si="7"/>
        <v>1.9804178511215891E-11</v>
      </c>
      <c r="Z4">
        <f t="shared" si="7"/>
        <v>2.3251281060882039E-12</v>
      </c>
      <c r="AA4">
        <f t="shared" si="7"/>
        <v>2.7298384058998261E-13</v>
      </c>
      <c r="AB4">
        <f t="shared" si="7"/>
        <v>3.2049923196975931E-14</v>
      </c>
      <c r="AC4">
        <f t="shared" si="7"/>
        <v>3.7628512175374158E-15</v>
      </c>
      <c r="AD4">
        <f t="shared" si="7"/>
        <v>4.4178106756457966E-16</v>
      </c>
      <c r="AE4">
        <f t="shared" si="7"/>
        <v>5.1867719549705798E-17</v>
      </c>
    </row>
    <row r="5" spans="1:31" x14ac:dyDescent="0.25">
      <c r="A5" s="2" t="s">
        <v>22</v>
      </c>
      <c r="B5">
        <f>SUMPRODUCT('4. STATIS Intra-struktur'!$B$4:$E$7, '4. STATIS Intra-struktur'!$B$16:$E$19)</f>
        <v>71.307652680643329</v>
      </c>
      <c r="C5">
        <f>SQRT(SUMSQ('4. STATIS Intra-struktur'!$B$4:$E$7))</f>
        <v>8.7609117057049328</v>
      </c>
      <c r="D5">
        <f>SQRT(SUMSQ('4. STATIS Intra-struktur'!$B$16:$E$19))</f>
        <v>9.3390565940061521</v>
      </c>
      <c r="E5">
        <f t="shared" si="4"/>
        <v>81.818650234669335</v>
      </c>
      <c r="F5" s="2">
        <f>B5/E5</f>
        <v>0.87153298760271969</v>
      </c>
      <c r="H5" s="2">
        <f>F9</f>
        <v>0.87153298760271969</v>
      </c>
      <c r="I5" s="2">
        <f>F10</f>
        <v>0.99314315465693881</v>
      </c>
      <c r="J5" s="2">
        <f>F11</f>
        <v>1</v>
      </c>
      <c r="L5">
        <v>1</v>
      </c>
      <c r="M5">
        <v>2.8646761422596585</v>
      </c>
      <c r="N5">
        <f t="shared" si="6"/>
        <v>0.33632998255575314</v>
      </c>
      <c r="O5">
        <f t="shared" si="6"/>
        <v>3.9487136258525117E-2</v>
      </c>
      <c r="P5">
        <f t="shared" si="6"/>
        <v>4.6360241749807598E-3</v>
      </c>
      <c r="Q5">
        <f t="shared" si="6"/>
        <v>5.4429675553809866E-4</v>
      </c>
      <c r="R5">
        <f t="shared" si="6"/>
        <v>6.3903669805718866E-5</v>
      </c>
      <c r="S5">
        <f t="shared" si="6"/>
        <v>7.5026701391985491E-6</v>
      </c>
      <c r="T5">
        <f t="shared" si="6"/>
        <v>8.808580068837309E-7</v>
      </c>
      <c r="U5">
        <f t="shared" si="6"/>
        <v>1.0341795839288535E-7</v>
      </c>
      <c r="V5">
        <f t="shared" si="6"/>
        <v>1.2141882158726057E-8</v>
      </c>
      <c r="W5">
        <f t="shared" ref="W5:AE5" si="8">V5/SUM($M$3:$M$5)</f>
        <v>1.4255290342932574E-9</v>
      </c>
      <c r="X5">
        <f t="shared" si="8"/>
        <v>1.6736556993782267E-10</v>
      </c>
      <c r="Y5">
        <f t="shared" si="8"/>
        <v>1.964971131892764E-11</v>
      </c>
      <c r="Z5">
        <f t="shared" si="8"/>
        <v>2.3069927408644186E-12</v>
      </c>
      <c r="AA5">
        <f t="shared" si="8"/>
        <v>2.7085464106917863E-13</v>
      </c>
      <c r="AB5">
        <f t="shared" si="8"/>
        <v>3.179994253524401E-14</v>
      </c>
      <c r="AC5">
        <f t="shared" si="8"/>
        <v>3.7335020040751032E-15</v>
      </c>
      <c r="AD5">
        <f t="shared" si="8"/>
        <v>4.3833529570011385E-16</v>
      </c>
      <c r="AE5">
        <f t="shared" si="8"/>
        <v>5.1463165480235056E-17</v>
      </c>
    </row>
    <row r="6" spans="1:31" x14ac:dyDescent="0.25">
      <c r="A6" s="2" t="s">
        <v>28</v>
      </c>
      <c r="B6">
        <f>SUMPRODUCT('4. STATIS Intra-struktur'!$B$10:$E$13, '4. STATIS Intra-struktur'!$B$4:$E$7)</f>
        <v>70.39602660001907</v>
      </c>
      <c r="C6">
        <f>SQRT(SUMSQ('4. STATIS Intra-struktur'!$B$10:$E$13))</f>
        <v>8.98743797753683</v>
      </c>
      <c r="D6">
        <f>SQRT(SUMSQ('4. STATIS Intra-struktur'!$B$4:$E$7))</f>
        <v>8.7609117057049328</v>
      </c>
      <c r="E6">
        <f t="shared" si="4"/>
        <v>78.738150581699486</v>
      </c>
      <c r="F6" s="2">
        <f t="shared" si="5"/>
        <v>0.89405232507938392</v>
      </c>
      <c r="M6">
        <v>2.8800489837719634</v>
      </c>
      <c r="N6">
        <f t="shared" ref="N6:Z6" si="9">M6/SQRT(SUMSQ($M$6:$M$8))</f>
        <v>0.56987251855753074</v>
      </c>
      <c r="O6">
        <f t="shared" si="9"/>
        <v>0.11276012638568951</v>
      </c>
      <c r="P6">
        <f t="shared" si="9"/>
        <v>2.2311737605281736E-2</v>
      </c>
      <c r="Q6">
        <f t="shared" si="9"/>
        <v>4.4148020308544204E-3</v>
      </c>
      <c r="R6">
        <f t="shared" si="9"/>
        <v>8.7355262581711426E-4</v>
      </c>
      <c r="S6">
        <f t="shared" si="9"/>
        <v>1.7284901672573742E-4</v>
      </c>
      <c r="T6">
        <f t="shared" si="9"/>
        <v>3.4201468463457194E-5</v>
      </c>
      <c r="U6">
        <f t="shared" si="9"/>
        <v>6.7674116244057369E-6</v>
      </c>
      <c r="V6">
        <f t="shared" si="9"/>
        <v>1.339061220224358E-6</v>
      </c>
      <c r="W6">
        <f t="shared" si="9"/>
        <v>2.6495875395583051E-7</v>
      </c>
      <c r="X6">
        <f t="shared" si="9"/>
        <v>5.2427133455529293E-8</v>
      </c>
      <c r="Y6">
        <f t="shared" si="9"/>
        <v>1.0373706402703269E-8</v>
      </c>
      <c r="Z6">
        <f t="shared" si="9"/>
        <v>2.0526352946755887E-9</v>
      </c>
    </row>
    <row r="7" spans="1:31" x14ac:dyDescent="0.25">
      <c r="A7" s="2" t="s">
        <v>29</v>
      </c>
      <c r="B7">
        <f>SUMPRODUCT('4. STATIS Intra-struktur'!$B$10:$E$13, '4. STATIS Intra-struktur'!$B$10:$E$13)</f>
        <v>80.774041400071312</v>
      </c>
      <c r="C7">
        <f>SQRT(SUMSQ('4. STATIS Intra-struktur'!$B$10:$E$13))</f>
        <v>8.98743797753683</v>
      </c>
      <c r="D7">
        <f>SQRT(SUMSQ('4. STATIS Intra-struktur'!$B$10:$E$13))</f>
        <v>8.98743797753683</v>
      </c>
      <c r="E7">
        <f t="shared" si="4"/>
        <v>80.774041400071312</v>
      </c>
      <c r="F7" s="2">
        <f t="shared" si="5"/>
        <v>1</v>
      </c>
      <c r="M7">
        <v>2.9420538628366995</v>
      </c>
      <c r="N7">
        <f t="shared" ref="N7:O8" si="10">M7/SQRT(SUMSQ($M$6:$M$8))</f>
        <v>0.58214136425931418</v>
      </c>
      <c r="O7">
        <f t="shared" si="10"/>
        <v>0.11518775106820868</v>
      </c>
      <c r="P7">
        <f t="shared" ref="P7:T7" si="11">O7/SQRT(SUMSQ($M$6:$M$8))</f>
        <v>2.2792089363093768E-2</v>
      </c>
      <c r="Q7">
        <f t="shared" si="11"/>
        <v>4.5098487705315235E-3</v>
      </c>
      <c r="R7">
        <f t="shared" si="11"/>
        <v>8.9235943265466124E-4</v>
      </c>
      <c r="S7">
        <f t="shared" si="11"/>
        <v>1.7657030148128395E-4</v>
      </c>
      <c r="T7">
        <f t="shared" si="11"/>
        <v>3.4937795493956393E-5</v>
      </c>
      <c r="U7">
        <f t="shared" ref="U7:Z7" si="12">T7/SQRT(SUMSQ($M$6:$M$8))</f>
        <v>6.9131079447519983E-6</v>
      </c>
      <c r="V7">
        <f t="shared" si="12"/>
        <v>1.3678900108067835E-6</v>
      </c>
      <c r="W7">
        <f t="shared" si="12"/>
        <v>2.7066307898250344E-7</v>
      </c>
      <c r="X7">
        <f t="shared" si="12"/>
        <v>5.3555842754550802E-8</v>
      </c>
      <c r="Y7">
        <f t="shared" si="12"/>
        <v>1.0597043024606927E-8</v>
      </c>
      <c r="Z7">
        <f t="shared" si="12"/>
        <v>2.0968266969494765E-9</v>
      </c>
    </row>
    <row r="8" spans="1:31" x14ac:dyDescent="0.25">
      <c r="A8" s="2" t="s">
        <v>30</v>
      </c>
      <c r="B8">
        <f>SUMPRODUCT('4. STATIS Intra-struktur'!$B$10:$E$13, '4. STATIS Intra-struktur'!$B$16:$E$19)</f>
        <v>83.358668134433231</v>
      </c>
      <c r="C8">
        <f>SQRT(SUMSQ('4. STATIS Intra-struktur'!$B$10:$E$13))</f>
        <v>8.98743797753683</v>
      </c>
      <c r="D8">
        <f>SQRT(SUMSQ('4. STATIS Intra-struktur'!$B$16:$E$19))</f>
        <v>9.3390565940061521</v>
      </c>
      <c r="E8">
        <f t="shared" si="4"/>
        <v>83.934191907336654</v>
      </c>
      <c r="F8" s="2">
        <f t="shared" si="5"/>
        <v>0.99314315465693881</v>
      </c>
      <c r="M8">
        <v>2.9310432741118664</v>
      </c>
      <c r="N8">
        <f t="shared" si="10"/>
        <v>0.57996270967295915</v>
      </c>
      <c r="O8">
        <f t="shared" si="10"/>
        <v>0.11475666278353409</v>
      </c>
      <c r="P8">
        <f t="shared" ref="P8:T8" si="13">O8/SQRT(SUMSQ($M$6:$M$8))</f>
        <v>2.2706790339399246E-2</v>
      </c>
      <c r="Q8">
        <f t="shared" si="13"/>
        <v>4.4929707348671331E-3</v>
      </c>
      <c r="R8">
        <f t="shared" si="13"/>
        <v>8.8901979199348989E-4</v>
      </c>
      <c r="S8">
        <f t="shared" si="13"/>
        <v>1.7590949000016593E-4</v>
      </c>
      <c r="T8">
        <f t="shared" si="13"/>
        <v>3.4807041362634896E-5</v>
      </c>
      <c r="U8">
        <f t="shared" ref="U8:Z8" si="14">T8/SQRT(SUMSQ($M$6:$M$8))</f>
        <v>6.8872357507206338E-6</v>
      </c>
      <c r="V8">
        <f t="shared" si="14"/>
        <v>1.3627707046920822E-6</v>
      </c>
      <c r="W8">
        <f t="shared" si="14"/>
        <v>2.6965012681214452E-7</v>
      </c>
      <c r="X8">
        <f t="shared" si="14"/>
        <v>5.3355410884206453E-8</v>
      </c>
      <c r="Y8">
        <f t="shared" si="14"/>
        <v>1.0557383763463827E-8</v>
      </c>
      <c r="Z8">
        <f t="shared" si="14"/>
        <v>2.0889793571441139E-9</v>
      </c>
    </row>
    <row r="9" spans="1:31" x14ac:dyDescent="0.25">
      <c r="A9" s="2" t="s">
        <v>31</v>
      </c>
      <c r="B9">
        <f>SUMPRODUCT('4. STATIS Intra-struktur'!$B$16:$E$19, '4. STATIS Intra-struktur'!$B$4:$E$7)</f>
        <v>71.307652680643329</v>
      </c>
      <c r="C9">
        <f>SQRT(SUMSQ('4. STATIS Intra-struktur'!$B$16:$E$19))</f>
        <v>9.3390565940061521</v>
      </c>
      <c r="D9">
        <f>SQRT(SUMSQ('4. STATIS Intra-struktur'!$B$4:$E$7))</f>
        <v>8.7609117057049328</v>
      </c>
      <c r="E9">
        <f t="shared" si="4"/>
        <v>81.818650234669335</v>
      </c>
      <c r="F9" s="2">
        <f t="shared" si="5"/>
        <v>0.87153298760271969</v>
      </c>
      <c r="L9" t="s">
        <v>46</v>
      </c>
      <c r="M9" cm="1">
        <f t="array" ref="M9:M11">MMULT($H$3:$J$5, Z3:Z5)</f>
        <v>6.3165989727292577E-12</v>
      </c>
      <c r="N9">
        <f>M9/Z3</f>
        <v>2.8361261773805344</v>
      </c>
      <c r="O9">
        <f>SQRT($N9) * Z3</f>
        <v>3.7507708414754763E-12</v>
      </c>
      <c r="P9">
        <f>O9/SUM(O$9:O$11)</f>
        <v>0.32446692504963642</v>
      </c>
      <c r="Q9" t="s">
        <v>49</v>
      </c>
      <c r="R9" cm="1">
        <f t="array" ref="R9:R11">MMULT($H$3:$J$5, Z6:Z8)</f>
        <v>5.7479224985440113E-9</v>
      </c>
      <c r="S9">
        <f>R9/Z6</f>
        <v>2.8002648660742477</v>
      </c>
      <c r="T9">
        <f>SQRT($S9) * Z6</f>
        <v>3.4348782498905742E-9</v>
      </c>
      <c r="U9">
        <f>T9/SUM(T$9:T$11)</f>
        <v>0.32674487874086761</v>
      </c>
    </row>
    <row r="10" spans="1:31" x14ac:dyDescent="0.25">
      <c r="A10" s="2" t="s">
        <v>32</v>
      </c>
      <c r="B10">
        <f>SUMPRODUCT('4. STATIS Intra-struktur'!$B$16:$E$19, '4. STATIS Intra-struktur'!$B$10:$E$13)</f>
        <v>83.358668134433231</v>
      </c>
      <c r="C10">
        <f>SQRT(SUMSQ('4. STATIS Intra-struktur'!$B$16:$E$19))</f>
        <v>9.3390565940061521</v>
      </c>
      <c r="D10">
        <f>SQRT(SUMSQ('4. STATIS Intra-struktur'!$B$10:$E$13))</f>
        <v>8.98743797753683</v>
      </c>
      <c r="E10">
        <f t="shared" si="4"/>
        <v>83.934191907336654</v>
      </c>
      <c r="F10" s="2">
        <f t="shared" si="5"/>
        <v>0.99314315465693881</v>
      </c>
      <c r="L10" t="s">
        <v>47</v>
      </c>
      <c r="M10">
        <v>6.6075287942956982E-12</v>
      </c>
      <c r="N10">
        <f t="shared" ref="N10:N11" si="15">M10/Z4</f>
        <v>2.8417912875399396</v>
      </c>
      <c r="O10">
        <f t="shared" ref="O10:O11" si="16">SQRT($N10) * Z4</f>
        <v>3.9196110663437046E-12</v>
      </c>
      <c r="P10">
        <f t="shared" ref="P10:P11" si="17">O10/SUM(O$9:O$11)</f>
        <v>0.33907274100136026</v>
      </c>
      <c r="Q10" t="s">
        <v>50</v>
      </c>
      <c r="R10">
        <v>6.0066456034615225E-9</v>
      </c>
      <c r="S10">
        <f>R10/Z7</f>
        <v>2.8646361724601097</v>
      </c>
      <c r="T10">
        <f t="shared" ref="T10:T11" si="18">SQRT($S10) * Z7</f>
        <v>3.5489286919368105E-9</v>
      </c>
      <c r="U10">
        <f t="shared" ref="U10:U11" si="19">T10/SUM(T$9:T$11)</f>
        <v>0.3375939962773995</v>
      </c>
    </row>
    <row r="11" spans="1:31" x14ac:dyDescent="0.25">
      <c r="A11" s="2" t="s">
        <v>33</v>
      </c>
      <c r="B11">
        <f>SUMPRODUCT('4. STATIS Intra-struktur'!$B$16:$E$19, '4. STATIS Intra-struktur'!$B$16:$E$19)</f>
        <v>87.217978066049795</v>
      </c>
      <c r="C11">
        <f>SQRT(SUMSQ('4. STATIS Intra-struktur'!$B$16:$E$19))</f>
        <v>9.3390565940061521</v>
      </c>
      <c r="D11">
        <f>SQRT(SUMSQ('4. STATIS Intra-struktur'!$B$16:$E$19))</f>
        <v>9.3390565940061521</v>
      </c>
      <c r="E11">
        <f t="shared" si="4"/>
        <v>87.217978066049795</v>
      </c>
      <c r="F11" s="2">
        <f t="shared" si="5"/>
        <v>1</v>
      </c>
      <c r="L11" t="s">
        <v>48</v>
      </c>
      <c r="M11">
        <v>6.5572495431980953E-12</v>
      </c>
      <c r="N11">
        <f t="shared" si="15"/>
        <v>2.8423364439114476</v>
      </c>
      <c r="O11">
        <f t="shared" si="16"/>
        <v>3.8894121787481627E-12</v>
      </c>
      <c r="P11">
        <f t="shared" si="17"/>
        <v>0.33646033394900338</v>
      </c>
      <c r="Q11" t="s">
        <v>51</v>
      </c>
      <c r="R11">
        <v>5.9603678085488106E-9</v>
      </c>
      <c r="S11">
        <f>R11/Z8</f>
        <v>2.8532439960045131</v>
      </c>
      <c r="T11">
        <f t="shared" si="18"/>
        <v>3.5286095438635264E-9</v>
      </c>
      <c r="U11">
        <f t="shared" si="19"/>
        <v>0.33566112498173295</v>
      </c>
    </row>
    <row r="12" spans="1:31" x14ac:dyDescent="0.25">
      <c r="L12" t="s">
        <v>52</v>
      </c>
      <c r="M12" cm="1">
        <f t="array" ref="M12:M14">MMULT($H$3:$J$5, P3:P5)</f>
        <v>1.2693540392441345E-2</v>
      </c>
      <c r="N12">
        <f>M12/P3</f>
        <v>2.836126177380534</v>
      </c>
      <c r="O12">
        <f>SQRT($N12) * P3</f>
        <v>7.5373727831400924E-3</v>
      </c>
      <c r="P12">
        <f>O12/SUM(O$12:O$14)</f>
        <v>0.32446692504963648</v>
      </c>
      <c r="Q12" t="s">
        <v>58</v>
      </c>
      <c r="R12" cm="1">
        <f t="array" ref="R12:R14">MMULT($H$3:$J$5, P6:P8)</f>
        <v>6.2478774917138005E-2</v>
      </c>
      <c r="S12">
        <f>R12/P6</f>
        <v>2.8002648660742473</v>
      </c>
      <c r="T12">
        <f>SQRT($S12) * P6</f>
        <v>3.7336443749380326E-2</v>
      </c>
      <c r="U12">
        <f>T12/SUM(T$12:T$14)</f>
        <v>0.32674487874086755</v>
      </c>
    </row>
    <row r="13" spans="1:31" x14ac:dyDescent="0.25">
      <c r="A13" s="1" t="s">
        <v>34</v>
      </c>
      <c r="L13" t="s">
        <v>53</v>
      </c>
      <c r="M13">
        <v>1.3278179287100147E-2</v>
      </c>
      <c r="N13">
        <f t="shared" ref="N13:N14" si="20">M13/P4</f>
        <v>2.84179128753994</v>
      </c>
      <c r="O13">
        <f t="shared" ref="O13:O14" si="21">SQRT($N13) * P4</f>
        <v>7.8766661629298337E-3</v>
      </c>
      <c r="P13">
        <f t="shared" ref="P13:P14" si="22">O13/SUM(O$12:O$14)</f>
        <v>0.3390727410013602</v>
      </c>
      <c r="Q13" t="s">
        <v>59</v>
      </c>
      <c r="R13">
        <v>6.5291043635461704E-2</v>
      </c>
      <c r="S13">
        <f>R13/P7</f>
        <v>2.8646361724601093</v>
      </c>
      <c r="T13">
        <f t="shared" ref="T13:T14" si="23">SQRT($S13) * P7</f>
        <v>3.8576149382087088E-2</v>
      </c>
      <c r="U13">
        <f t="shared" ref="U13:U14" si="24">T13/SUM(T$12:T$14)</f>
        <v>0.3375939962773995</v>
      </c>
    </row>
    <row r="14" spans="1:31" x14ac:dyDescent="0.25">
      <c r="A14" s="1" t="s">
        <v>36</v>
      </c>
      <c r="L14" t="s">
        <v>54</v>
      </c>
      <c r="M14">
        <v>1.3177140467402312E-2</v>
      </c>
      <c r="N14">
        <f t="shared" si="20"/>
        <v>2.8423364439114467</v>
      </c>
      <c r="O14">
        <f t="shared" si="21"/>
        <v>7.8159798978755298E-3</v>
      </c>
      <c r="P14">
        <f t="shared" si="22"/>
        <v>0.33646033394900343</v>
      </c>
      <c r="Q14" t="s">
        <v>60</v>
      </c>
      <c r="R14">
        <v>6.4788013204424191E-2</v>
      </c>
      <c r="S14">
        <f>R14/P8</f>
        <v>2.8532439960045135</v>
      </c>
      <c r="T14">
        <f t="shared" si="23"/>
        <v>3.8355284281818197E-2</v>
      </c>
      <c r="U14">
        <f t="shared" si="24"/>
        <v>0.33566112498173289</v>
      </c>
    </row>
    <row r="15" spans="1:31" x14ac:dyDescent="0.25">
      <c r="A15" s="2" t="s">
        <v>37</v>
      </c>
      <c r="B15">
        <f>SUMPRODUCT('4. STATIS Intra-struktur'!$B$23:$D$25, '4. STATIS Intra-struktur'!$B$23:$D$25)</f>
        <v>76.753573915157716</v>
      </c>
      <c r="C15">
        <f>SQRT(SUMSQ('4. STATIS Intra-struktur'!$B$23:$D$25))</f>
        <v>8.7609117057049328</v>
      </c>
      <c r="D15">
        <f>SQRT(SUMSQ('4. STATIS Intra-struktur'!$B$23:$D$25))</f>
        <v>8.7609117057049328</v>
      </c>
      <c r="E15">
        <f>C15*D15</f>
        <v>76.753573915157716</v>
      </c>
      <c r="F15" s="2">
        <f>B15/E15</f>
        <v>1</v>
      </c>
      <c r="H15" s="2">
        <f>F15</f>
        <v>1</v>
      </c>
      <c r="I15" s="2">
        <f>F16</f>
        <v>0.81405966825420295</v>
      </c>
      <c r="J15" s="2">
        <f>F17</f>
        <v>0.74980758345522658</v>
      </c>
      <c r="L15" t="s">
        <v>55</v>
      </c>
      <c r="M15" cm="1">
        <f t="array" ref="M15:M17">MMULT($H$3:$J$5, M3:M5)</f>
        <v>7.8435489010768435</v>
      </c>
      <c r="N15">
        <f>M15/M3</f>
        <v>2.836126177380534</v>
      </c>
      <c r="O15">
        <f>SQRT($N15) * M3</f>
        <v>4.6574675135873971</v>
      </c>
      <c r="P15">
        <f>O15/SUM(O$15:O$17)</f>
        <v>0.32446692504963642</v>
      </c>
      <c r="Q15" t="s">
        <v>55</v>
      </c>
      <c r="R15" cm="1">
        <f t="array" ref="R15:R17">MMULT($H$3:$J$5, M6:M8)</f>
        <v>8.0648999818294698</v>
      </c>
      <c r="S15">
        <f>R15/M6</f>
        <v>2.8002648660742477</v>
      </c>
      <c r="T15">
        <f>SQRT($S15) * M6</f>
        <v>4.8194716512176408</v>
      </c>
      <c r="U15">
        <f>T15/SUM(T$15:T$17)</f>
        <v>0.32674487874086761</v>
      </c>
    </row>
    <row r="16" spans="1:31" x14ac:dyDescent="0.25">
      <c r="A16" s="2" t="s">
        <v>38</v>
      </c>
      <c r="B16">
        <f>SUMPRODUCT('4. STATIS Intra-struktur'!$B$23:$D$25, '4. STATIS Intra-struktur'!$B$28:$D$30)</f>
        <v>64.09755274148776</v>
      </c>
      <c r="C16">
        <f>SQRT(SUMSQ('4. STATIS Intra-struktur'!$B$23:$D$25))</f>
        <v>8.7609117057049328</v>
      </c>
      <c r="D16">
        <f>SQRT(SUMSQ('4. STATIS Intra-struktur'!$B$28:$D$30))</f>
        <v>8.98743797753683</v>
      </c>
      <c r="E16">
        <f t="shared" ref="E16:E23" si="25">C16*D16</f>
        <v>78.738150581699486</v>
      </c>
      <c r="F16" s="2">
        <f t="shared" ref="F16" si="26">B16/E16</f>
        <v>0.81405966825420295</v>
      </c>
      <c r="H16" s="2">
        <f>F18</f>
        <v>0.81405966825420295</v>
      </c>
      <c r="I16" s="2">
        <f>F19</f>
        <v>0.99999999999999978</v>
      </c>
      <c r="J16" s="2">
        <f>F20</f>
        <v>0.99442233622762288</v>
      </c>
      <c r="L16" t="s">
        <v>56</v>
      </c>
      <c r="M16">
        <v>8.2048069597393791</v>
      </c>
      <c r="N16">
        <f t="shared" ref="N16:N17" si="27">M16/M4</f>
        <v>2.84179128753994</v>
      </c>
      <c r="O16">
        <f t="shared" ref="O16:O17" si="28">SQRT($N16) * M4</f>
        <v>4.8671225139982512</v>
      </c>
      <c r="P16">
        <f t="shared" ref="P16:P17" si="29">O16/SUM(O$15:O$17)</f>
        <v>0.3390727410013602</v>
      </c>
      <c r="Q16" t="s">
        <v>56</v>
      </c>
      <c r="R16">
        <v>8.4279139168080022</v>
      </c>
      <c r="S16">
        <f t="shared" ref="S16:S17" si="30">R16/M7</f>
        <v>2.8646361724601093</v>
      </c>
      <c r="T16">
        <f t="shared" ref="T16:T17" si="31">SQRT($S16) * M7</f>
        <v>4.9794956265268633</v>
      </c>
      <c r="U16">
        <f t="shared" ref="U16:U17" si="32">T16/SUM(T$15:T$17)</f>
        <v>0.3375939962773995</v>
      </c>
    </row>
    <row r="17" spans="1:21" x14ac:dyDescent="0.25">
      <c r="A17" s="2" t="s">
        <v>39</v>
      </c>
      <c r="B17">
        <f>SUMPRODUCT('4. STATIS Intra-struktur'!$B$23:$D$25, '4. STATIS Intra-struktur'!$B$33:$D$35)</f>
        <v>61.348244414025814</v>
      </c>
      <c r="C17">
        <f>SQRT(SUMSQ('4. STATIS Intra-struktur'!$B$23:$D$25))</f>
        <v>8.7609117057049328</v>
      </c>
      <c r="D17">
        <f>SQRT(SUMSQ('4. STATIS Intra-struktur'!$B$33:$D$35))</f>
        <v>9.3390565940061503</v>
      </c>
      <c r="E17">
        <f t="shared" si="25"/>
        <v>81.81865023466932</v>
      </c>
      <c r="F17" s="2">
        <f>B17/E17</f>
        <v>0.74980758345522658</v>
      </c>
      <c r="H17" s="2">
        <f>F21</f>
        <v>0.74980758345522658</v>
      </c>
      <c r="I17" s="2">
        <f>F22</f>
        <v>0.99442233622762288</v>
      </c>
      <c r="J17" s="2">
        <f>F23</f>
        <v>1</v>
      </c>
      <c r="L17" t="s">
        <v>57</v>
      </c>
      <c r="M17">
        <v>8.1423733991482798</v>
      </c>
      <c r="N17">
        <f t="shared" si="27"/>
        <v>2.8423364439114467</v>
      </c>
      <c r="O17">
        <f t="shared" si="28"/>
        <v>4.8296234654380408</v>
      </c>
      <c r="P17">
        <f t="shared" si="29"/>
        <v>0.33646033394900338</v>
      </c>
      <c r="Q17" t="s">
        <v>57</v>
      </c>
      <c r="R17">
        <v>8.3629816238890946</v>
      </c>
      <c r="S17">
        <f t="shared" si="30"/>
        <v>2.8532439960045135</v>
      </c>
      <c r="T17">
        <f t="shared" si="31"/>
        <v>4.9509858654838901</v>
      </c>
      <c r="U17">
        <f t="shared" si="32"/>
        <v>0.33566112498173289</v>
      </c>
    </row>
    <row r="18" spans="1:21" x14ac:dyDescent="0.25">
      <c r="A18" s="2" t="s">
        <v>40</v>
      </c>
      <c r="B18">
        <f>SUMPRODUCT('4. STATIS Intra-struktur'!$B$28:$D$30, '4. STATIS Intra-struktur'!$B$23:$D$25)</f>
        <v>64.09755274148776</v>
      </c>
      <c r="C18">
        <f>SQRT(SUMSQ('4. STATIS Intra-struktur'!$B$28:$D$30))</f>
        <v>8.98743797753683</v>
      </c>
      <c r="D18">
        <f>SQRT(SUMSQ('4. STATIS Intra-struktur'!$B$23:$D$25))</f>
        <v>8.7609117057049328</v>
      </c>
      <c r="E18">
        <f t="shared" si="25"/>
        <v>78.738150581699486</v>
      </c>
      <c r="F18" s="2">
        <f t="shared" ref="F18:F23" si="33">B18/E18</f>
        <v>0.81405966825420295</v>
      </c>
    </row>
    <row r="19" spans="1:21" x14ac:dyDescent="0.25">
      <c r="A19" s="2" t="s">
        <v>41</v>
      </c>
      <c r="B19">
        <f>SUMPRODUCT('4. STATIS Intra-struktur'!$B$28:$D$30, '4. STATIS Intra-struktur'!$B$28:$D$30)</f>
        <v>80.774041400071297</v>
      </c>
      <c r="C19">
        <f>SQRT(SUMSQ('4. STATIS Intra-struktur'!$B$28:$D$30))</f>
        <v>8.98743797753683</v>
      </c>
      <c r="D19">
        <f>SQRT(SUMSQ('4. STATIS Intra-struktur'!$B$28:$D$30))</f>
        <v>8.98743797753683</v>
      </c>
      <c r="E19">
        <f t="shared" si="25"/>
        <v>80.774041400071312</v>
      </c>
      <c r="F19" s="2">
        <f t="shared" si="33"/>
        <v>0.99999999999999978</v>
      </c>
    </row>
    <row r="20" spans="1:21" x14ac:dyDescent="0.25">
      <c r="A20" s="2" t="s">
        <v>42</v>
      </c>
      <c r="B20">
        <f>SUMPRODUCT('4. STATIS Intra-struktur'!$B$28:$D$30, '4. STATIS Intra-struktur'!$B$33:$D$35)</f>
        <v>83.466035205871322</v>
      </c>
      <c r="C20">
        <f>SQRT(SUMSQ('4. STATIS Intra-struktur'!$B$28:$D$30))</f>
        <v>8.98743797753683</v>
      </c>
      <c r="D20">
        <f>SQRT(SUMSQ('4. STATIS Intra-struktur'!$B$33:$D$35))</f>
        <v>9.3390565940061503</v>
      </c>
      <c r="E20">
        <f t="shared" si="25"/>
        <v>83.934191907336626</v>
      </c>
      <c r="F20" s="2">
        <f t="shared" si="33"/>
        <v>0.99442233622762288</v>
      </c>
    </row>
    <row r="21" spans="1:21" x14ac:dyDescent="0.25">
      <c r="A21" s="2" t="s">
        <v>43</v>
      </c>
      <c r="B21">
        <f>SUMPRODUCT('4. STATIS Intra-struktur'!$B$33:$D$35, '4. STATIS Intra-struktur'!$B$23:$D$25)</f>
        <v>61.348244414025814</v>
      </c>
      <c r="C21">
        <f>SQRT(SUMSQ('4. STATIS Intra-struktur'!$B$33:$D$35))</f>
        <v>9.3390565940061503</v>
      </c>
      <c r="D21">
        <f>SQRT(SUMSQ('4. STATIS Intra-struktur'!$B$23:$D$25))</f>
        <v>8.7609117057049328</v>
      </c>
      <c r="E21">
        <f t="shared" si="25"/>
        <v>81.81865023466932</v>
      </c>
      <c r="F21" s="2">
        <f t="shared" si="33"/>
        <v>0.74980758345522658</v>
      </c>
    </row>
    <row r="22" spans="1:21" x14ac:dyDescent="0.25">
      <c r="A22" s="2" t="s">
        <v>44</v>
      </c>
      <c r="B22">
        <f>SUMPRODUCT('4. STATIS Intra-struktur'!$B$33:$D$35, '4. STATIS Intra-struktur'!$B$28:$D$30)</f>
        <v>83.466035205871322</v>
      </c>
      <c r="C22">
        <f>SQRT(SUMSQ('4. STATIS Intra-struktur'!$B$33:$D$35))</f>
        <v>9.3390565940061503</v>
      </c>
      <c r="D22">
        <f>SQRT(SUMSQ('4. STATIS Intra-struktur'!$B$28:$D$30))</f>
        <v>8.98743797753683</v>
      </c>
      <c r="E22">
        <f t="shared" si="25"/>
        <v>83.934191907336626</v>
      </c>
      <c r="F22" s="2">
        <f t="shared" si="33"/>
        <v>0.99442233622762288</v>
      </c>
    </row>
    <row r="23" spans="1:21" x14ac:dyDescent="0.25">
      <c r="A23" s="2" t="s">
        <v>45</v>
      </c>
      <c r="B23">
        <f>SUMPRODUCT('4. STATIS Intra-struktur'!$B$33:$D$35, '4. STATIS Intra-struktur'!$B$33:$D$35)</f>
        <v>87.217978066049753</v>
      </c>
      <c r="C23">
        <f>SQRT(SUMSQ('4. STATIS Intra-struktur'!$B$33:$D$35))</f>
        <v>9.3390565940061503</v>
      </c>
      <c r="D23">
        <f>SQRT(SUMSQ('4. STATIS Intra-struktur'!$B$33:$D$35))</f>
        <v>9.3390565940061503</v>
      </c>
      <c r="E23">
        <f t="shared" si="25"/>
        <v>87.217978066049753</v>
      </c>
      <c r="F23" s="2">
        <f t="shared" si="33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1. Data Original</vt:lpstr>
      <vt:lpstr>2. Statistika Deskriptif</vt:lpstr>
      <vt:lpstr>3. Standardisasi Z-Score</vt:lpstr>
      <vt:lpstr>4. STATIS Intra-struktur</vt:lpstr>
      <vt:lpstr>5. STATIS Inter-struktur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Syafiq Khanafi Arifin</cp:lastModifiedBy>
  <dcterms:created xsi:type="dcterms:W3CDTF">2026-04-08T00:18:01Z</dcterms:created>
  <dcterms:modified xsi:type="dcterms:W3CDTF">2026-04-27T15:42:19Z</dcterms:modified>
</cp:coreProperties>
</file>