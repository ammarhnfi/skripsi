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kripsi\my\data\"/>
    </mc:Choice>
  </mc:AlternateContent>
  <xr:revisionPtr revIDLastSave="0" documentId="13_ncr:1_{7D60502B-0101-44EF-9EDC-A34F18D183F7}" xr6:coauthVersionLast="47" xr6:coauthVersionMax="47" xr10:uidLastSave="{00000000-0000-0000-0000-000000000000}"/>
  <bookViews>
    <workbookView xWindow="4530" yWindow="1650" windowWidth="21600" windowHeight="12645" activeTab="1" xr2:uid="{00000000-000D-0000-FFFF-FFFF00000000}"/>
  </bookViews>
  <sheets>
    <sheet name="1. Data Original" sheetId="1" r:id="rId1"/>
    <sheet name="Lembar1" sheetId="6" r:id="rId2"/>
    <sheet name="2. Statistika Deskriptif" sheetId="2" r:id="rId3"/>
    <sheet name="3. Standardisasi Z-Score" sheetId="3" r:id="rId4"/>
    <sheet name="4. STATIS Intra-struktur" sheetId="4" r:id="rId5"/>
    <sheet name="5. STATIS Inter-struktur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" i="6" l="1" a="1"/>
  <c r="N18" i="6" s="1"/>
  <c r="N24" i="6" a="1"/>
  <c r="N24" i="6" s="1"/>
  <c r="D166" i="6" a="1"/>
  <c r="D166" i="6" s="1"/>
  <c r="I16" i="6"/>
  <c r="E16" i="6"/>
  <c r="D16" i="6"/>
  <c r="C16" i="6"/>
  <c r="I10" i="6"/>
  <c r="H10" i="6"/>
  <c r="G10" i="6"/>
  <c r="F10" i="6"/>
  <c r="A18" i="6" a="1"/>
  <c r="J220" i="6"/>
  <c r="K219" i="6"/>
  <c r="L217" i="6"/>
  <c r="L216" i="6"/>
  <c r="J209" i="6"/>
  <c r="H209" i="6"/>
  <c r="K209" i="6" s="1"/>
  <c r="K208" i="6"/>
  <c r="G208" i="6"/>
  <c r="J208" i="6" s="1"/>
  <c r="J194" i="6"/>
  <c r="K193" i="6"/>
  <c r="L190" i="6"/>
  <c r="L191" i="6"/>
  <c r="J183" i="6"/>
  <c r="K182" i="6"/>
  <c r="H183" i="6"/>
  <c r="K183" i="6" s="1"/>
  <c r="G182" i="6"/>
  <c r="J182" i="6" s="1"/>
  <c r="E176" i="6"/>
  <c r="D176" i="6"/>
  <c r="E175" i="6"/>
  <c r="D175" i="6"/>
  <c r="E174" i="6"/>
  <c r="D174" i="6"/>
  <c r="I93" i="6" a="1"/>
  <c r="I93" i="6" s="1"/>
  <c r="E18" i="6" a="1"/>
  <c r="E18" i="6" s="1"/>
  <c r="AY3" i="6" a="1"/>
  <c r="AY3" i="6" s="1"/>
  <c r="AK18" i="6"/>
  <c r="N10" i="6"/>
  <c r="O10" i="6"/>
  <c r="P10" i="6"/>
  <c r="Q10" i="6"/>
  <c r="N11" i="6"/>
  <c r="O11" i="6"/>
  <c r="P11" i="6"/>
  <c r="Q11" i="6"/>
  <c r="N12" i="6"/>
  <c r="O12" i="6"/>
  <c r="P12" i="6"/>
  <c r="Q12" i="6"/>
  <c r="O9" i="6"/>
  <c r="P9" i="6"/>
  <c r="Q9" i="6"/>
  <c r="N9" i="6"/>
  <c r="AB7" i="6"/>
  <c r="AA6" i="6"/>
  <c r="V8" i="6"/>
  <c r="U7" i="6"/>
  <c r="AC15" i="6"/>
  <c r="AB15" i="6"/>
  <c r="AA15" i="6"/>
  <c r="AC14" i="6"/>
  <c r="AB14" i="6"/>
  <c r="AA14" i="6"/>
  <c r="AC13" i="6"/>
  <c r="AB13" i="6"/>
  <c r="AA13" i="6"/>
  <c r="AB12" i="6"/>
  <c r="AA12" i="6"/>
  <c r="Q8" i="6"/>
  <c r="P7" i="6"/>
  <c r="O6" i="6"/>
  <c r="N5" i="6"/>
  <c r="AO21" i="6"/>
  <c r="AO20" i="6"/>
  <c r="AO19" i="6"/>
  <c r="AO18" i="6"/>
  <c r="AN21" i="6"/>
  <c r="AN20" i="6"/>
  <c r="AN19" i="6"/>
  <c r="AN18" i="6"/>
  <c r="AL21" i="6"/>
  <c r="AL20" i="6"/>
  <c r="AL19" i="6"/>
  <c r="AL18" i="6"/>
  <c r="AK21" i="6"/>
  <c r="AK20" i="6"/>
  <c r="AK19" i="6"/>
  <c r="Y105" i="6"/>
  <c r="Y104" i="6"/>
  <c r="Y103" i="6"/>
  <c r="X105" i="6"/>
  <c r="X104" i="6"/>
  <c r="X103" i="6"/>
  <c r="V105" i="6"/>
  <c r="V104" i="6"/>
  <c r="V103" i="6"/>
  <c r="U105" i="6"/>
  <c r="U104" i="6"/>
  <c r="U103" i="6"/>
  <c r="E93" i="6" a="1"/>
  <c r="E93" i="6" s="1"/>
  <c r="A93" i="6" a="1"/>
  <c r="A93" i="6" s="1"/>
  <c r="BM9" i="6" a="1"/>
  <c r="BM9" i="6" s="1"/>
  <c r="BM16" i="6" s="1" a="1"/>
  <c r="BI9" i="6" a="1"/>
  <c r="BI9" i="6" s="1"/>
  <c r="BI16" i="6" s="1" a="1"/>
  <c r="BE9" i="6" a="1"/>
  <c r="I18" i="6" a="1"/>
  <c r="I18" i="6" s="1"/>
  <c r="A6" i="6" a="1"/>
  <c r="A6" i="6" s="1"/>
  <c r="O41" i="5"/>
  <c r="O40" i="5"/>
  <c r="N41" i="5"/>
  <c r="N40" i="5"/>
  <c r="O39" i="5"/>
  <c r="P39" i="5"/>
  <c r="P41" i="5"/>
  <c r="Q41" i="5" s="1"/>
  <c r="R41" i="5" s="1"/>
  <c r="S41" i="5" s="1"/>
  <c r="T41" i="5" s="1"/>
  <c r="U41" i="5" s="1"/>
  <c r="Q39" i="5"/>
  <c r="N39" i="5"/>
  <c r="O38" i="5"/>
  <c r="O37" i="5" s="1"/>
  <c r="N38" i="5"/>
  <c r="N37" i="5" s="1"/>
  <c r="M37" i="5"/>
  <c r="M38" i="5"/>
  <c r="M42" i="5"/>
  <c r="M39" i="5" a="1"/>
  <c r="M39" i="5" s="1"/>
  <c r="D41" i="5"/>
  <c r="D44" i="5"/>
  <c r="D47" i="5"/>
  <c r="E47" i="5" s="1"/>
  <c r="F47" i="5" s="1"/>
  <c r="J41" i="5" s="1"/>
  <c r="C47" i="5"/>
  <c r="C46" i="5"/>
  <c r="C45" i="5"/>
  <c r="B47" i="5"/>
  <c r="B46" i="5"/>
  <c r="B45" i="5"/>
  <c r="B44" i="5"/>
  <c r="B42" i="5"/>
  <c r="B41" i="5"/>
  <c r="D46" i="5"/>
  <c r="D43" i="5"/>
  <c r="D40" i="5"/>
  <c r="C44" i="5"/>
  <c r="C43" i="5"/>
  <c r="C42" i="5"/>
  <c r="B43" i="5"/>
  <c r="B40" i="5"/>
  <c r="D45" i="5"/>
  <c r="D42" i="5"/>
  <c r="D39" i="5"/>
  <c r="C41" i="5"/>
  <c r="C40" i="5"/>
  <c r="C39" i="5"/>
  <c r="B39" i="5"/>
  <c r="B34" i="5"/>
  <c r="B33" i="5"/>
  <c r="B32" i="5"/>
  <c r="B30" i="5"/>
  <c r="B29" i="5"/>
  <c r="B28" i="5"/>
  <c r="D29" i="5"/>
  <c r="D32" i="5"/>
  <c r="D35" i="5"/>
  <c r="C35" i="5"/>
  <c r="C34" i="5"/>
  <c r="C33" i="5"/>
  <c r="D34" i="5"/>
  <c r="D31" i="5"/>
  <c r="D28" i="5"/>
  <c r="C32" i="5"/>
  <c r="C31" i="5"/>
  <c r="E31" i="5" s="1"/>
  <c r="F31" i="5" s="1"/>
  <c r="I28" i="5" s="1"/>
  <c r="C30" i="5"/>
  <c r="E30" i="5" s="1"/>
  <c r="D33" i="5"/>
  <c r="D30" i="5"/>
  <c r="D27" i="5"/>
  <c r="C29" i="5"/>
  <c r="C28" i="5"/>
  <c r="C27" i="5"/>
  <c r="B35" i="5"/>
  <c r="B31" i="5"/>
  <c r="B27" i="5"/>
  <c r="E46" i="5"/>
  <c r="F46" i="5" s="1"/>
  <c r="I41" i="5" s="1"/>
  <c r="E45" i="5"/>
  <c r="E44" i="5"/>
  <c r="F44" i="5" s="1"/>
  <c r="J40" i="5" s="1"/>
  <c r="E43" i="5"/>
  <c r="E40" i="5"/>
  <c r="F40" i="5"/>
  <c r="I39" i="5" s="1"/>
  <c r="E35" i="5"/>
  <c r="E34" i="5"/>
  <c r="E33" i="5"/>
  <c r="E28" i="5"/>
  <c r="E27" i="5"/>
  <c r="F27" i="5" s="1"/>
  <c r="H27" i="5" s="1"/>
  <c r="B69" i="4" a="1"/>
  <c r="B69" i="4" s="1"/>
  <c r="B64" i="4" a="1"/>
  <c r="B64" i="4" s="1"/>
  <c r="B59" i="4" a="1"/>
  <c r="B59" i="4" s="1"/>
  <c r="G70" i="3" a="1"/>
  <c r="G70" i="3" s="1"/>
  <c r="G65" i="3" a="1"/>
  <c r="G65" i="3" s="1"/>
  <c r="G60" i="3" a="1"/>
  <c r="G60" i="3" s="1"/>
  <c r="N56" i="3"/>
  <c r="M56" i="3"/>
  <c r="L56" i="3"/>
  <c r="N55" i="3"/>
  <c r="M55" i="3"/>
  <c r="L55" i="3"/>
  <c r="N54" i="3"/>
  <c r="M54" i="3"/>
  <c r="L54" i="3"/>
  <c r="N53" i="3"/>
  <c r="M53" i="3"/>
  <c r="L53" i="3"/>
  <c r="L47" i="3"/>
  <c r="N50" i="3"/>
  <c r="M50" i="3"/>
  <c r="L50" i="3"/>
  <c r="N49" i="3"/>
  <c r="M49" i="3"/>
  <c r="L49" i="3"/>
  <c r="N48" i="3"/>
  <c r="M48" i="3"/>
  <c r="L48" i="3"/>
  <c r="N47" i="3"/>
  <c r="M47" i="3"/>
  <c r="L41" i="3"/>
  <c r="N44" i="3"/>
  <c r="M44" i="3"/>
  <c r="L44" i="3"/>
  <c r="N43" i="3"/>
  <c r="M43" i="3"/>
  <c r="L43" i="3"/>
  <c r="N42" i="3"/>
  <c r="M42" i="3"/>
  <c r="L42" i="3"/>
  <c r="N41" i="3"/>
  <c r="M41" i="3"/>
  <c r="L70" i="3" a="1"/>
  <c r="L70" i="3" s="1"/>
  <c r="L65" i="3" a="1"/>
  <c r="L65" i="3" s="1"/>
  <c r="L60" i="3" a="1"/>
  <c r="L60" i="3" s="1"/>
  <c r="A68" i="4"/>
  <c r="A67" i="4"/>
  <c r="A63" i="4"/>
  <c r="A62" i="4"/>
  <c r="A58" i="4"/>
  <c r="A57" i="4"/>
  <c r="A56" i="4"/>
  <c r="A51" i="4"/>
  <c r="A50" i="4"/>
  <c r="A45" i="4"/>
  <c r="A44" i="4"/>
  <c r="A39" i="4"/>
  <c r="A38" i="4"/>
  <c r="A37" i="4"/>
  <c r="E24" i="1"/>
  <c r="E23" i="1"/>
  <c r="E22" i="1"/>
  <c r="E21" i="1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2" i="3"/>
  <c r="A51" i="3"/>
  <c r="A46" i="3"/>
  <c r="A45" i="3"/>
  <c r="A40" i="3"/>
  <c r="A39" i="3"/>
  <c r="A19" i="3"/>
  <c r="A56" i="3" s="1"/>
  <c r="A18" i="3"/>
  <c r="A55" i="3" s="1"/>
  <c r="A17" i="3"/>
  <c r="A54" i="3" s="1"/>
  <c r="A16" i="3"/>
  <c r="A53" i="3" s="1"/>
  <c r="A13" i="3"/>
  <c r="A50" i="3" s="1"/>
  <c r="A12" i="3"/>
  <c r="A49" i="3" s="1"/>
  <c r="A11" i="3"/>
  <c r="A48" i="3" s="1"/>
  <c r="A10" i="3"/>
  <c r="A10" i="4" s="1"/>
  <c r="A46" i="4" s="1"/>
  <c r="C4" i="3"/>
  <c r="C13" i="3"/>
  <c r="B13" i="3"/>
  <c r="D12" i="3"/>
  <c r="C5" i="3"/>
  <c r="H33" i="2"/>
  <c r="D33" i="2"/>
  <c r="H32" i="2"/>
  <c r="G32" i="2"/>
  <c r="G31" i="2"/>
  <c r="F31" i="2"/>
  <c r="E31" i="2"/>
  <c r="D31" i="2"/>
  <c r="E28" i="2"/>
  <c r="G27" i="2"/>
  <c r="F27" i="2"/>
  <c r="D26" i="2"/>
  <c r="C4" i="2"/>
  <c r="B4" i="3" s="1"/>
  <c r="C24" i="1"/>
  <c r="C23" i="1"/>
  <c r="C22" i="1"/>
  <c r="C21" i="1"/>
  <c r="H4" i="2"/>
  <c r="H21" i="2" s="1"/>
  <c r="C11" i="2"/>
  <c r="C10" i="2"/>
  <c r="C10" i="3" s="1"/>
  <c r="C9" i="2"/>
  <c r="B11" i="3" s="1"/>
  <c r="C6" i="2"/>
  <c r="C5" i="2"/>
  <c r="C16" i="2"/>
  <c r="D17" i="3" s="1"/>
  <c r="C15" i="2"/>
  <c r="C14" i="2"/>
  <c r="B17" i="3" s="1"/>
  <c r="G16" i="2"/>
  <c r="G33" i="2" s="1"/>
  <c r="F16" i="2"/>
  <c r="F33" i="2" s="1"/>
  <c r="E16" i="2"/>
  <c r="E33" i="2" s="1"/>
  <c r="F15" i="2"/>
  <c r="F32" i="2" s="1"/>
  <c r="G15" i="2"/>
  <c r="E15" i="2"/>
  <c r="E32" i="2" s="1"/>
  <c r="G14" i="2"/>
  <c r="F14" i="2"/>
  <c r="E14" i="2"/>
  <c r="G11" i="2"/>
  <c r="G28" i="2" s="1"/>
  <c r="F11" i="2"/>
  <c r="F28" i="2" s="1"/>
  <c r="E11" i="2"/>
  <c r="G10" i="2"/>
  <c r="F10" i="2"/>
  <c r="E10" i="2"/>
  <c r="E27" i="2" s="1"/>
  <c r="G9" i="2"/>
  <c r="G26" i="2" s="1"/>
  <c r="F9" i="2"/>
  <c r="F26" i="2" s="1"/>
  <c r="E9" i="2"/>
  <c r="E26" i="2" s="1"/>
  <c r="G4" i="2"/>
  <c r="G21" i="2" s="1"/>
  <c r="G5" i="2"/>
  <c r="G22" i="2" s="1"/>
  <c r="F5" i="2"/>
  <c r="F22" i="2" s="1"/>
  <c r="G6" i="2"/>
  <c r="G23" i="2" s="1"/>
  <c r="F6" i="2"/>
  <c r="F23" i="2" s="1"/>
  <c r="E6" i="2"/>
  <c r="E23" i="2" s="1"/>
  <c r="E5" i="2"/>
  <c r="E22" i="2" s="1"/>
  <c r="E4" i="2"/>
  <c r="E21" i="2" s="1"/>
  <c r="F4" i="2"/>
  <c r="F21" i="2" s="1"/>
  <c r="D4" i="2"/>
  <c r="D21" i="2" s="1"/>
  <c r="O8" i="5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N8" i="5"/>
  <c r="N7" i="5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N6" i="5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D35" i="4"/>
  <c r="I35" i="4" s="1"/>
  <c r="C35" i="4"/>
  <c r="H35" i="4" s="1"/>
  <c r="B35" i="4"/>
  <c r="G35" i="4" s="1"/>
  <c r="A35" i="4"/>
  <c r="A71" i="4" s="1"/>
  <c r="D34" i="4"/>
  <c r="I34" i="4" s="1"/>
  <c r="C34" i="4"/>
  <c r="H34" i="4" s="1"/>
  <c r="B34" i="4"/>
  <c r="G34" i="4" s="1"/>
  <c r="A34" i="4"/>
  <c r="A70" i="4" s="1"/>
  <c r="D33" i="4"/>
  <c r="I33" i="4" s="1"/>
  <c r="C33" i="4"/>
  <c r="H33" i="4" s="1"/>
  <c r="B33" i="4"/>
  <c r="A33" i="4"/>
  <c r="A69" i="4" s="1"/>
  <c r="D32" i="4"/>
  <c r="D68" i="4" s="1"/>
  <c r="C32" i="4"/>
  <c r="C68" i="4" s="1"/>
  <c r="B32" i="4"/>
  <c r="B68" i="4" s="1"/>
  <c r="D30" i="4"/>
  <c r="I30" i="4" s="1"/>
  <c r="C30" i="4"/>
  <c r="H30" i="4" s="1"/>
  <c r="B30" i="4"/>
  <c r="G30" i="4" s="1"/>
  <c r="A30" i="4"/>
  <c r="A66" i="4" s="1"/>
  <c r="D29" i="4"/>
  <c r="I29" i="4" s="1"/>
  <c r="C29" i="4"/>
  <c r="H29" i="4" s="1"/>
  <c r="B29" i="4"/>
  <c r="G29" i="4" s="1"/>
  <c r="A29" i="4"/>
  <c r="A65" i="4" s="1"/>
  <c r="D28" i="4"/>
  <c r="I28" i="4" s="1"/>
  <c r="C28" i="4"/>
  <c r="H28" i="4" s="1"/>
  <c r="B28" i="4"/>
  <c r="A28" i="4"/>
  <c r="A64" i="4" s="1"/>
  <c r="D27" i="4"/>
  <c r="D63" i="4" s="1"/>
  <c r="C27" i="4"/>
  <c r="C63" i="4" s="1"/>
  <c r="B27" i="4"/>
  <c r="B63" i="4" s="1"/>
  <c r="D25" i="4"/>
  <c r="I25" i="4" s="1"/>
  <c r="C25" i="4"/>
  <c r="H25" i="4" s="1"/>
  <c r="B25" i="4"/>
  <c r="G25" i="4" s="1"/>
  <c r="A25" i="4"/>
  <c r="A61" i="4" s="1"/>
  <c r="D24" i="4"/>
  <c r="I24" i="4" s="1"/>
  <c r="C24" i="4"/>
  <c r="H24" i="4" s="1"/>
  <c r="B24" i="4"/>
  <c r="G24" i="4" s="1"/>
  <c r="A24" i="4"/>
  <c r="A60" i="4" s="1"/>
  <c r="D23" i="4"/>
  <c r="I23" i="4" s="1"/>
  <c r="C23" i="4"/>
  <c r="H23" i="4" s="1"/>
  <c r="B23" i="4"/>
  <c r="A23" i="4"/>
  <c r="A59" i="4" s="1"/>
  <c r="D22" i="4"/>
  <c r="D58" i="4" s="1"/>
  <c r="C22" i="4"/>
  <c r="C58" i="4" s="1"/>
  <c r="B22" i="4"/>
  <c r="B58" i="4" s="1"/>
  <c r="E15" i="4"/>
  <c r="E51" i="4" s="1"/>
  <c r="C15" i="4"/>
  <c r="C51" i="4" s="1"/>
  <c r="A16" i="4"/>
  <c r="A52" i="4" s="1"/>
  <c r="A13" i="4"/>
  <c r="A49" i="4" s="1"/>
  <c r="A12" i="4"/>
  <c r="A48" i="4" s="1"/>
  <c r="H16" i="2"/>
  <c r="D16" i="2"/>
  <c r="B16" i="2"/>
  <c r="M15" i="1" s="1"/>
  <c r="H15" i="2"/>
  <c r="D15" i="2"/>
  <c r="D32" i="2" s="1"/>
  <c r="B15" i="2"/>
  <c r="L15" i="1" s="1"/>
  <c r="H14" i="2"/>
  <c r="H31" i="2" s="1"/>
  <c r="D14" i="2"/>
  <c r="B14" i="2"/>
  <c r="H15" i="1" s="1"/>
  <c r="H11" i="2"/>
  <c r="H28" i="2" s="1"/>
  <c r="D11" i="2"/>
  <c r="D28" i="2" s="1"/>
  <c r="B11" i="2"/>
  <c r="J9" i="1" s="1"/>
  <c r="H10" i="2"/>
  <c r="H27" i="2" s="1"/>
  <c r="D10" i="2"/>
  <c r="D27" i="2" s="1"/>
  <c r="B10" i="2"/>
  <c r="I9" i="1" s="1"/>
  <c r="H9" i="2"/>
  <c r="H26" i="2" s="1"/>
  <c r="D9" i="2"/>
  <c r="B9" i="2"/>
  <c r="K12" i="1" s="1"/>
  <c r="A7" i="3"/>
  <c r="A7" i="4" s="1"/>
  <c r="A43" i="4" s="1"/>
  <c r="A6" i="3"/>
  <c r="D3" i="4" s="1"/>
  <c r="D39" i="4" s="1"/>
  <c r="A5" i="3"/>
  <c r="C3" i="4" s="1"/>
  <c r="C39" i="4" s="1"/>
  <c r="A4" i="3"/>
  <c r="A4" i="4" s="1"/>
  <c r="A40" i="4" s="1"/>
  <c r="H6" i="2"/>
  <c r="H23" i="2" s="1"/>
  <c r="H5" i="2"/>
  <c r="H22" i="2" s="1"/>
  <c r="D6" i="2"/>
  <c r="D23" i="2" s="1"/>
  <c r="D5" i="2"/>
  <c r="D22" i="2" s="1"/>
  <c r="B5" i="2"/>
  <c r="I6" i="1" s="1"/>
  <c r="B4" i="2"/>
  <c r="H5" i="1" s="1"/>
  <c r="B6" i="2"/>
  <c r="M5" i="1" s="1"/>
  <c r="AC12" i="6" l="1"/>
  <c r="O208" i="6" a="1"/>
  <c r="O208" i="6" s="1"/>
  <c r="AN24" i="6" a="1"/>
  <c r="AN24" i="6" s="1"/>
  <c r="T18" i="6" a="1"/>
  <c r="T18" i="6" s="1"/>
  <c r="I24" i="6" a="1"/>
  <c r="I24" i="6" s="1"/>
  <c r="N30" i="6" a="1"/>
  <c r="O190" i="6"/>
  <c r="T24" i="6" a="1"/>
  <c r="T24" i="6" s="1"/>
  <c r="K194" i="6"/>
  <c r="J193" i="6"/>
  <c r="J196" i="6" s="1"/>
  <c r="B191" i="6" a="1"/>
  <c r="B188" i="6" a="1"/>
  <c r="A24" i="6" a="1"/>
  <c r="A24" i="6" s="1"/>
  <c r="AE12" i="6" a="1"/>
  <c r="AE12" i="6" s="1"/>
  <c r="AS3" i="6" a="1"/>
  <c r="AS3" i="6" s="1"/>
  <c r="AV3" i="6" s="1" a="1"/>
  <c r="AV3" i="6" s="1"/>
  <c r="AS10" i="6" a="1"/>
  <c r="AS10" i="6" s="1"/>
  <c r="O216" i="6"/>
  <c r="J219" i="6" s="1"/>
  <c r="J222" i="6" s="1"/>
  <c r="P98" i="6" a="1"/>
  <c r="P98" i="6" s="1"/>
  <c r="M98" i="6" a="1"/>
  <c r="B214" i="6" a="1"/>
  <c r="B214" i="6" s="1"/>
  <c r="Q24" i="6" a="1"/>
  <c r="Q24" i="6" s="1"/>
  <c r="A18" i="6"/>
  <c r="B217" i="6" a="1"/>
  <c r="S98" i="6" a="1"/>
  <c r="S98" i="6" s="1"/>
  <c r="Q18" i="6" a="1"/>
  <c r="Q18" i="6" s="1"/>
  <c r="AK24" i="6" a="1"/>
  <c r="I108" i="6" a="1"/>
  <c r="E103" i="6" a="1"/>
  <c r="I103" i="6" a="1"/>
  <c r="E108" i="6" a="1"/>
  <c r="A103" i="6" a="1"/>
  <c r="I98" i="6" a="1"/>
  <c r="A108" i="6" a="1"/>
  <c r="A98" i="6" a="1"/>
  <c r="E98" i="6" a="1"/>
  <c r="E24" i="6" a="1"/>
  <c r="E24" i="6" s="1"/>
  <c r="BI16" i="6"/>
  <c r="BM27" i="6" s="1" a="1"/>
  <c r="BM16" i="6"/>
  <c r="BM32" i="6" s="1" a="1"/>
  <c r="BI32" i="6" a="1"/>
  <c r="BE9" i="6"/>
  <c r="BE16" i="6" s="1" a="1"/>
  <c r="N42" i="5"/>
  <c r="P40" i="5"/>
  <c r="Q40" i="5" s="1"/>
  <c r="R40" i="5" s="1"/>
  <c r="S40" i="5" s="1"/>
  <c r="T40" i="5" s="1"/>
  <c r="U40" i="5" s="1"/>
  <c r="Q38" i="5"/>
  <c r="Q37" i="5" s="1"/>
  <c r="R39" i="5"/>
  <c r="P38" i="5"/>
  <c r="P37" i="5" s="1"/>
  <c r="O42" i="5"/>
  <c r="P42" i="5"/>
  <c r="Q42" i="5"/>
  <c r="E42" i="5"/>
  <c r="F33" i="5"/>
  <c r="H29" i="5" s="1"/>
  <c r="F28" i="5"/>
  <c r="I27" i="5" s="1"/>
  <c r="E32" i="5"/>
  <c r="E41" i="5"/>
  <c r="F41" i="5" s="1"/>
  <c r="J39" i="5" s="1"/>
  <c r="E29" i="5"/>
  <c r="F29" i="5" s="1"/>
  <c r="J27" i="5" s="1"/>
  <c r="F43" i="5"/>
  <c r="I40" i="5" s="1"/>
  <c r="E39" i="5"/>
  <c r="F39" i="5" s="1"/>
  <c r="H39" i="5" s="1"/>
  <c r="F32" i="5"/>
  <c r="J28" i="5" s="1"/>
  <c r="F42" i="5"/>
  <c r="H40" i="5" s="1"/>
  <c r="F30" i="5"/>
  <c r="H28" i="5" s="1"/>
  <c r="F35" i="5"/>
  <c r="J29" i="5" s="1"/>
  <c r="F45" i="5"/>
  <c r="H41" i="5" s="1"/>
  <c r="F34" i="5"/>
  <c r="I29" i="5" s="1"/>
  <c r="A11" i="4"/>
  <c r="A47" i="4" s="1"/>
  <c r="A42" i="3"/>
  <c r="A43" i="3"/>
  <c r="A44" i="3"/>
  <c r="D15" i="4"/>
  <c r="D51" i="4" s="1"/>
  <c r="D5" i="3"/>
  <c r="D6" i="3"/>
  <c r="B16" i="3"/>
  <c r="B7" i="3"/>
  <c r="C16" i="3"/>
  <c r="A47" i="3"/>
  <c r="C7" i="3"/>
  <c r="D16" i="3"/>
  <c r="D13" i="3"/>
  <c r="B10" i="3"/>
  <c r="B18" i="3"/>
  <c r="C18" i="3"/>
  <c r="C11" i="3"/>
  <c r="D18" i="3"/>
  <c r="C6" i="3"/>
  <c r="D7" i="3"/>
  <c r="C17" i="3"/>
  <c r="D11" i="3"/>
  <c r="B19" i="3"/>
  <c r="B6" i="3"/>
  <c r="D10" i="3"/>
  <c r="D4" i="3"/>
  <c r="B12" i="3"/>
  <c r="C19" i="3"/>
  <c r="B5" i="3"/>
  <c r="C12" i="3"/>
  <c r="D19" i="3"/>
  <c r="A41" i="3"/>
  <c r="H17" i="1"/>
  <c r="J17" i="1"/>
  <c r="J18" i="1"/>
  <c r="I5" i="1"/>
  <c r="M16" i="1"/>
  <c r="I3" i="1"/>
  <c r="I5" i="2" s="1"/>
  <c r="I4" i="1"/>
  <c r="H6" i="1"/>
  <c r="H18" i="1"/>
  <c r="L16" i="1"/>
  <c r="I15" i="1"/>
  <c r="C25" i="1"/>
  <c r="D21" i="1" s="1"/>
  <c r="I17" i="1"/>
  <c r="I18" i="1"/>
  <c r="J15" i="1"/>
  <c r="D23" i="1"/>
  <c r="D24" i="1"/>
  <c r="H10" i="1"/>
  <c r="J16" i="1"/>
  <c r="J11" i="1"/>
  <c r="L17" i="1"/>
  <c r="J12" i="1"/>
  <c r="L18" i="1"/>
  <c r="H9" i="1"/>
  <c r="H11" i="1"/>
  <c r="K10" i="1"/>
  <c r="M17" i="1"/>
  <c r="H12" i="1"/>
  <c r="J10" i="1"/>
  <c r="K9" i="1"/>
  <c r="K11" i="1"/>
  <c r="M18" i="1"/>
  <c r="H16" i="1"/>
  <c r="I16" i="1"/>
  <c r="L10" i="1"/>
  <c r="M9" i="1"/>
  <c r="I10" i="1"/>
  <c r="M10" i="1"/>
  <c r="K16" i="1"/>
  <c r="L11" i="1"/>
  <c r="I11" i="1"/>
  <c r="M11" i="1"/>
  <c r="K17" i="1"/>
  <c r="K15" i="1"/>
  <c r="I12" i="1"/>
  <c r="M12" i="1"/>
  <c r="K18" i="1"/>
  <c r="L9" i="1"/>
  <c r="L12" i="1"/>
  <c r="L5" i="1"/>
  <c r="K4" i="1"/>
  <c r="K3" i="1"/>
  <c r="L3" i="1"/>
  <c r="L4" i="1"/>
  <c r="L6" i="1"/>
  <c r="K5" i="1"/>
  <c r="K10" i="2"/>
  <c r="H4" i="1"/>
  <c r="J6" i="1"/>
  <c r="H3" i="1"/>
  <c r="K6" i="1"/>
  <c r="M4" i="1"/>
  <c r="K6" i="2"/>
  <c r="M3" i="1"/>
  <c r="K16" i="2"/>
  <c r="J4" i="1"/>
  <c r="J3" i="1"/>
  <c r="M6" i="1"/>
  <c r="J5" i="1"/>
  <c r="K9" i="2"/>
  <c r="K14" i="2"/>
  <c r="K15" i="2"/>
  <c r="K11" i="2"/>
  <c r="K4" i="2"/>
  <c r="K5" i="2"/>
  <c r="C17" i="5"/>
  <c r="G23" i="4"/>
  <c r="L25" i="4" s="1"/>
  <c r="E9" i="4"/>
  <c r="E45" i="4" s="1"/>
  <c r="C9" i="4"/>
  <c r="C45" i="4" s="1"/>
  <c r="D20" i="5"/>
  <c r="C20" i="5"/>
  <c r="B9" i="4"/>
  <c r="B45" i="4" s="1"/>
  <c r="C21" i="5"/>
  <c r="D16" i="5"/>
  <c r="B19" i="5"/>
  <c r="D17" i="5"/>
  <c r="B20" i="5"/>
  <c r="D18" i="5"/>
  <c r="C23" i="5"/>
  <c r="B18" i="5"/>
  <c r="B22" i="5"/>
  <c r="B15" i="5"/>
  <c r="B17" i="5"/>
  <c r="D19" i="5"/>
  <c r="G33" i="4"/>
  <c r="L35" i="4" s="1"/>
  <c r="C18" i="5"/>
  <c r="B16" i="5"/>
  <c r="D15" i="5"/>
  <c r="B23" i="5"/>
  <c r="C15" i="5"/>
  <c r="C16" i="5"/>
  <c r="D23" i="5"/>
  <c r="G28" i="4"/>
  <c r="L30" i="4" s="1"/>
  <c r="C19" i="5"/>
  <c r="C22" i="5"/>
  <c r="B21" i="5"/>
  <c r="D21" i="5"/>
  <c r="D22" i="5"/>
  <c r="B15" i="4"/>
  <c r="B51" i="4" s="1"/>
  <c r="D9" i="4"/>
  <c r="D45" i="4" s="1"/>
  <c r="A19" i="4"/>
  <c r="A55" i="4" s="1"/>
  <c r="A18" i="4"/>
  <c r="A54" i="4" s="1"/>
  <c r="A17" i="4"/>
  <c r="A53" i="4" s="1"/>
  <c r="A5" i="4"/>
  <c r="A41" i="4" s="1"/>
  <c r="A6" i="4"/>
  <c r="A42" i="4" s="1"/>
  <c r="B3" i="4"/>
  <c r="B39" i="4" s="1"/>
  <c r="E3" i="4"/>
  <c r="E39" i="4" s="1"/>
  <c r="N30" i="6" l="1"/>
  <c r="N35" i="6" a="1"/>
  <c r="AL30" i="6" a="1"/>
  <c r="AL30" i="6" s="1"/>
  <c r="AK30" i="6" a="1"/>
  <c r="AK30" i="6" s="1"/>
  <c r="AL29" i="6" a="1"/>
  <c r="AL29" i="6" s="1"/>
  <c r="AK29" i="6" a="1"/>
  <c r="AK29" i="6" s="1"/>
  <c r="AL28" i="6" a="1"/>
  <c r="AL28" i="6" s="1"/>
  <c r="M98" i="6"/>
  <c r="V98" i="6" s="1" a="1"/>
  <c r="V98" i="6" s="1"/>
  <c r="V99" i="6" a="1"/>
  <c r="V99" i="6" s="1"/>
  <c r="V100" i="6" a="1"/>
  <c r="V100" i="6" s="1"/>
  <c r="B188" i="6"/>
  <c r="C194" i="6"/>
  <c r="E189" i="6"/>
  <c r="F189" i="6"/>
  <c r="F188" i="6"/>
  <c r="C195" i="6"/>
  <c r="B195" i="6"/>
  <c r="AK24" i="6"/>
  <c r="P93" i="6" a="1"/>
  <c r="P93" i="6" s="1"/>
  <c r="S93" i="6" a="1"/>
  <c r="S93" i="6" s="1"/>
  <c r="M93" i="6" a="1"/>
  <c r="K220" i="6"/>
  <c r="B191" i="6"/>
  <c r="E191" i="6" s="1"/>
  <c r="F192" i="6"/>
  <c r="F191" i="6"/>
  <c r="E192" i="6"/>
  <c r="K197" i="6"/>
  <c r="V88" i="6" a="1"/>
  <c r="V88" i="6" s="1"/>
  <c r="K223" i="6"/>
  <c r="C220" i="6"/>
  <c r="F214" i="6"/>
  <c r="E215" i="6"/>
  <c r="C221" i="6"/>
  <c r="B221" i="6"/>
  <c r="F215" i="6"/>
  <c r="E218" i="6"/>
  <c r="F217" i="6"/>
  <c r="B217" i="6"/>
  <c r="E217" i="6" s="1"/>
  <c r="F218" i="6"/>
  <c r="BI27" i="6" a="1"/>
  <c r="BI27" i="6" s="1"/>
  <c r="BI43" i="6" s="1" a="1"/>
  <c r="BI43" i="6" s="1"/>
  <c r="BI58" i="6" s="1"/>
  <c r="BI70" i="6" s="1"/>
  <c r="I108" i="6"/>
  <c r="I123" i="6" s="1"/>
  <c r="E108" i="6"/>
  <c r="E123" i="6" s="1"/>
  <c r="I103" i="6"/>
  <c r="I118" i="6" s="1"/>
  <c r="E103" i="6"/>
  <c r="E118" i="6" s="1"/>
  <c r="A108" i="6"/>
  <c r="A123" i="6" s="1"/>
  <c r="E98" i="6"/>
  <c r="E113" i="6" s="1"/>
  <c r="I98" i="6"/>
  <c r="I113" i="6" s="1"/>
  <c r="A98" i="6"/>
  <c r="A113" i="6" s="1"/>
  <c r="A103" i="6"/>
  <c r="A118" i="6" s="1"/>
  <c r="BE32" i="6" a="1"/>
  <c r="BM32" i="6"/>
  <c r="BM48" i="6" s="1" a="1"/>
  <c r="BM48" i="6" s="1"/>
  <c r="BM63" i="6" s="1"/>
  <c r="BM75" i="6" s="1"/>
  <c r="BE16" i="6"/>
  <c r="BE22" i="6" s="1" a="1"/>
  <c r="BM27" i="6"/>
  <c r="BM43" i="6" s="1" a="1"/>
  <c r="BM43" i="6" s="1"/>
  <c r="BM58" i="6" s="1"/>
  <c r="BI32" i="6"/>
  <c r="BI48" i="6" s="1" a="1"/>
  <c r="BI48" i="6" s="1"/>
  <c r="BI63" i="6" s="1"/>
  <c r="BE27" i="6" a="1"/>
  <c r="E40" i="6" a="1"/>
  <c r="A40" i="6" a="1"/>
  <c r="I40" i="6" a="1"/>
  <c r="A35" i="6" a="1"/>
  <c r="E35" i="6" a="1"/>
  <c r="E30" i="6" a="1"/>
  <c r="I30" i="6" a="1"/>
  <c r="S39" i="5"/>
  <c r="R42" i="5"/>
  <c r="R38" i="5"/>
  <c r="R37" i="5" s="1"/>
  <c r="I16" i="2"/>
  <c r="E23" i="5"/>
  <c r="F23" i="5" s="1"/>
  <c r="J17" i="5" s="1"/>
  <c r="E15" i="5"/>
  <c r="F15" i="5" s="1"/>
  <c r="H15" i="5" s="1"/>
  <c r="E21" i="5"/>
  <c r="F21" i="5" s="1"/>
  <c r="H17" i="5" s="1"/>
  <c r="E19" i="5"/>
  <c r="F19" i="5" s="1"/>
  <c r="I16" i="5" s="1"/>
  <c r="E20" i="5"/>
  <c r="F20" i="5" s="1"/>
  <c r="J16" i="5" s="1"/>
  <c r="E17" i="5"/>
  <c r="F17" i="5" s="1"/>
  <c r="J15" i="5" s="1"/>
  <c r="D32" i="1"/>
  <c r="C32" i="1"/>
  <c r="F32" i="1"/>
  <c r="G44" i="1"/>
  <c r="F44" i="1"/>
  <c r="E44" i="1"/>
  <c r="D44" i="1"/>
  <c r="C38" i="1"/>
  <c r="G32" i="1"/>
  <c r="C44" i="1"/>
  <c r="G38" i="1"/>
  <c r="F38" i="1"/>
  <c r="E38" i="1"/>
  <c r="D38" i="1"/>
  <c r="E32" i="1"/>
  <c r="E37" i="1"/>
  <c r="D37" i="1"/>
  <c r="C37" i="1"/>
  <c r="G31" i="1"/>
  <c r="F31" i="1"/>
  <c r="E31" i="1"/>
  <c r="D31" i="1"/>
  <c r="C31" i="1"/>
  <c r="C43" i="1"/>
  <c r="D43" i="1"/>
  <c r="G43" i="1"/>
  <c r="F43" i="1"/>
  <c r="G37" i="1"/>
  <c r="E43" i="1"/>
  <c r="F37" i="1"/>
  <c r="C29" i="1"/>
  <c r="G41" i="1"/>
  <c r="F41" i="1"/>
  <c r="E41" i="1"/>
  <c r="D41" i="1"/>
  <c r="C41" i="1"/>
  <c r="G35" i="1"/>
  <c r="F29" i="1"/>
  <c r="F35" i="1"/>
  <c r="E29" i="1"/>
  <c r="E35" i="1"/>
  <c r="D35" i="1"/>
  <c r="C35" i="1"/>
  <c r="G29" i="1"/>
  <c r="D29" i="1"/>
  <c r="J15" i="2"/>
  <c r="I14" i="2"/>
  <c r="D22" i="1"/>
  <c r="I15" i="2"/>
  <c r="J16" i="2"/>
  <c r="J10" i="2"/>
  <c r="I11" i="2"/>
  <c r="I10" i="2"/>
  <c r="J9" i="2"/>
  <c r="J14" i="2"/>
  <c r="J11" i="2"/>
  <c r="J5" i="2"/>
  <c r="I9" i="2"/>
  <c r="I4" i="2"/>
  <c r="J4" i="2"/>
  <c r="J6" i="2"/>
  <c r="I6" i="2"/>
  <c r="B11" i="4"/>
  <c r="G11" i="4" s="1"/>
  <c r="D19" i="4"/>
  <c r="I19" i="4" s="1"/>
  <c r="E16" i="5"/>
  <c r="F16" i="5" s="1"/>
  <c r="I15" i="5" s="1"/>
  <c r="C11" i="4"/>
  <c r="H11" i="4" s="1"/>
  <c r="E18" i="5"/>
  <c r="F18" i="5" s="1"/>
  <c r="H16" i="5" s="1"/>
  <c r="D17" i="4"/>
  <c r="I17" i="4" s="1"/>
  <c r="D11" i="4"/>
  <c r="I11" i="4" s="1"/>
  <c r="D13" i="4"/>
  <c r="I13" i="4" s="1"/>
  <c r="E22" i="5"/>
  <c r="F22" i="5" s="1"/>
  <c r="I17" i="5" s="1"/>
  <c r="C12" i="4"/>
  <c r="H12" i="4" s="1"/>
  <c r="E11" i="4"/>
  <c r="J11" i="4" s="1"/>
  <c r="C16" i="4"/>
  <c r="H16" i="4" s="1"/>
  <c r="C18" i="4"/>
  <c r="H18" i="4" s="1"/>
  <c r="E17" i="4"/>
  <c r="J17" i="4" s="1"/>
  <c r="B10" i="4"/>
  <c r="G10" i="4" s="1"/>
  <c r="D18" i="4"/>
  <c r="I18" i="4" s="1"/>
  <c r="C10" i="4"/>
  <c r="H10" i="4" s="1"/>
  <c r="B17" i="4"/>
  <c r="G17" i="4" s="1"/>
  <c r="E16" i="4"/>
  <c r="J16" i="4" s="1"/>
  <c r="E19" i="4"/>
  <c r="J19" i="4" s="1"/>
  <c r="B19" i="4"/>
  <c r="G19" i="4" s="1"/>
  <c r="B18" i="4"/>
  <c r="G18" i="4" s="1"/>
  <c r="C17" i="4"/>
  <c r="H17" i="4" s="1"/>
  <c r="C19" i="4"/>
  <c r="H19" i="4" s="1"/>
  <c r="D16" i="4"/>
  <c r="I16" i="4" s="1"/>
  <c r="E10" i="4"/>
  <c r="J10" i="4" s="1"/>
  <c r="E13" i="4"/>
  <c r="J13" i="4" s="1"/>
  <c r="B13" i="4"/>
  <c r="G13" i="4" s="1"/>
  <c r="D12" i="4"/>
  <c r="I12" i="4" s="1"/>
  <c r="E12" i="4"/>
  <c r="J12" i="4" s="1"/>
  <c r="E18" i="4"/>
  <c r="J18" i="4" s="1"/>
  <c r="C13" i="4"/>
  <c r="H13" i="4" s="1"/>
  <c r="B12" i="4"/>
  <c r="G12" i="4" s="1"/>
  <c r="D10" i="4"/>
  <c r="I10" i="4" s="1"/>
  <c r="B16" i="4"/>
  <c r="E4" i="4"/>
  <c r="J4" i="4" s="1"/>
  <c r="B4" i="4"/>
  <c r="D4" i="4"/>
  <c r="I4" i="4" s="1"/>
  <c r="C4" i="4"/>
  <c r="H4" i="4" s="1"/>
  <c r="C5" i="4"/>
  <c r="H5" i="4" s="1"/>
  <c r="E5" i="4"/>
  <c r="J5" i="4" s="1"/>
  <c r="B5" i="4"/>
  <c r="G5" i="4" s="1"/>
  <c r="D5" i="4"/>
  <c r="I5" i="4" s="1"/>
  <c r="C6" i="4"/>
  <c r="H6" i="4" s="1"/>
  <c r="B6" i="4"/>
  <c r="G6" i="4" s="1"/>
  <c r="D6" i="4"/>
  <c r="I6" i="4" s="1"/>
  <c r="E6" i="4"/>
  <c r="J6" i="4" s="1"/>
  <c r="B7" i="4"/>
  <c r="G7" i="4" s="1"/>
  <c r="C7" i="4"/>
  <c r="H7" i="4" s="1"/>
  <c r="E7" i="4"/>
  <c r="J7" i="4" s="1"/>
  <c r="D7" i="4"/>
  <c r="I7" i="4" s="1"/>
  <c r="AA23" i="6" l="1" a="1"/>
  <c r="AA23" i="6" s="1"/>
  <c r="AK28" i="6" a="1"/>
  <c r="AK28" i="6" s="1"/>
  <c r="AK31" i="6" a="1"/>
  <c r="AK31" i="6" s="1"/>
  <c r="AL31" i="6" a="1"/>
  <c r="AL31" i="6" s="1"/>
  <c r="N35" i="6"/>
  <c r="N40" i="6" s="1" a="1"/>
  <c r="N40" i="6" s="1"/>
  <c r="M93" i="6"/>
  <c r="V89" i="6" s="1" a="1"/>
  <c r="V89" i="6" s="1"/>
  <c r="V90" i="6" s="1"/>
  <c r="V93" i="6" s="1"/>
  <c r="J199" i="6"/>
  <c r="K203" i="6"/>
  <c r="K204" i="6" s="1"/>
  <c r="J202" i="6"/>
  <c r="J201" i="6"/>
  <c r="J200" i="6"/>
  <c r="B194" i="6"/>
  <c r="H194" i="6" s="1"/>
  <c r="E188" i="6"/>
  <c r="H188" i="6" s="1"/>
  <c r="H191" i="6"/>
  <c r="H217" i="6"/>
  <c r="B220" i="6"/>
  <c r="H220" i="6" s="1"/>
  <c r="E214" i="6"/>
  <c r="H214" i="6" s="1"/>
  <c r="K229" i="6"/>
  <c r="K230" i="6" s="1"/>
  <c r="M232" i="6" s="1"/>
  <c r="J228" i="6"/>
  <c r="J227" i="6"/>
  <c r="J226" i="6"/>
  <c r="J225" i="6"/>
  <c r="C141" i="6"/>
  <c r="I131" i="6"/>
  <c r="C147" i="6" s="1"/>
  <c r="B141" i="6"/>
  <c r="E131" i="6"/>
  <c r="B147" i="6" s="1"/>
  <c r="B142" i="6"/>
  <c r="E136" i="6"/>
  <c r="B148" i="6" s="1"/>
  <c r="A141" i="6"/>
  <c r="A131" i="6"/>
  <c r="A147" i="6" s="1"/>
  <c r="A140" i="6"/>
  <c r="A126" i="6"/>
  <c r="A146" i="6" s="1"/>
  <c r="C140" i="6"/>
  <c r="I126" i="6"/>
  <c r="C146" i="6" s="1"/>
  <c r="C142" i="6"/>
  <c r="I136" i="6"/>
  <c r="C148" i="6" s="1"/>
  <c r="B140" i="6"/>
  <c r="E126" i="6"/>
  <c r="B146" i="6" s="1"/>
  <c r="A142" i="6"/>
  <c r="A136" i="6"/>
  <c r="A148" i="6" s="1"/>
  <c r="BI75" i="6"/>
  <c r="BM70" i="6"/>
  <c r="BM22" i="6" a="1"/>
  <c r="BM22" i="6" s="1"/>
  <c r="BM38" i="6" s="1" a="1"/>
  <c r="A30" i="6" a="1"/>
  <c r="BE32" i="6"/>
  <c r="BE48" i="6" s="1" a="1"/>
  <c r="BE48" i="6" s="1"/>
  <c r="BE63" i="6" s="1"/>
  <c r="A35" i="6"/>
  <c r="A51" i="6" s="1" a="1"/>
  <c r="E40" i="6"/>
  <c r="E56" i="6" s="1" a="1"/>
  <c r="I40" i="6"/>
  <c r="I56" i="6" s="1" a="1"/>
  <c r="E30" i="6"/>
  <c r="E46" i="6" s="1" a="1"/>
  <c r="E35" i="6"/>
  <c r="E51" i="6" s="1" a="1"/>
  <c r="I35" i="6" a="1"/>
  <c r="A40" i="6"/>
  <c r="A56" i="6" s="1" a="1"/>
  <c r="I30" i="6"/>
  <c r="I46" i="6" s="1" a="1"/>
  <c r="BE22" i="6"/>
  <c r="BE38" i="6" s="1" a="1"/>
  <c r="BI22" i="6" a="1"/>
  <c r="BE27" i="6"/>
  <c r="BE43" i="6" s="1" a="1"/>
  <c r="BE43" i="6" s="1"/>
  <c r="BE58" i="6" s="1"/>
  <c r="T39" i="5"/>
  <c r="S38" i="5"/>
  <c r="S37" i="5" s="1"/>
  <c r="S42" i="5"/>
  <c r="F42" i="1"/>
  <c r="E42" i="1"/>
  <c r="D42" i="1"/>
  <c r="C42" i="1"/>
  <c r="G36" i="1"/>
  <c r="F36" i="1"/>
  <c r="E36" i="1"/>
  <c r="B28" i="2" s="1"/>
  <c r="D36" i="1"/>
  <c r="B27" i="2" s="1"/>
  <c r="C36" i="1"/>
  <c r="B26" i="2" s="1"/>
  <c r="G30" i="1"/>
  <c r="F30" i="1"/>
  <c r="E30" i="1"/>
  <c r="B23" i="2" s="1"/>
  <c r="D30" i="1"/>
  <c r="C30" i="1"/>
  <c r="B21" i="2" s="1"/>
  <c r="G42" i="1"/>
  <c r="B22" i="2"/>
  <c r="B31" i="2"/>
  <c r="B33" i="2"/>
  <c r="B32" i="2"/>
  <c r="B7" i="5"/>
  <c r="C8" i="5"/>
  <c r="C6" i="5"/>
  <c r="C7" i="5"/>
  <c r="D7" i="5"/>
  <c r="B8" i="5"/>
  <c r="D4" i="5"/>
  <c r="B6" i="5"/>
  <c r="D10" i="5"/>
  <c r="L13" i="4"/>
  <c r="D9" i="5"/>
  <c r="D6" i="5"/>
  <c r="B3" i="5"/>
  <c r="D3" i="5"/>
  <c r="B4" i="5"/>
  <c r="C4" i="5"/>
  <c r="C3" i="5"/>
  <c r="B5" i="5"/>
  <c r="C5" i="5"/>
  <c r="G16" i="4"/>
  <c r="L19" i="4" s="1"/>
  <c r="D8" i="5"/>
  <c r="C11" i="5"/>
  <c r="C10" i="5"/>
  <c r="C9" i="5"/>
  <c r="B9" i="5"/>
  <c r="D5" i="5"/>
  <c r="B10" i="5"/>
  <c r="B11" i="5"/>
  <c r="D11" i="5"/>
  <c r="G4" i="4"/>
  <c r="L7" i="4" s="1"/>
  <c r="A30" i="6" l="1"/>
  <c r="A46" i="6" s="1" a="1"/>
  <c r="A46" i="6" s="1"/>
  <c r="K205" i="6"/>
  <c r="M205" i="6" s="1"/>
  <c r="M206" i="6"/>
  <c r="K231" i="6"/>
  <c r="M231" i="6" s="1"/>
  <c r="G140" i="6" a="1"/>
  <c r="G140" i="6" s="1"/>
  <c r="H141" i="6" s="1"/>
  <c r="G146" i="6" a="1"/>
  <c r="BE38" i="6"/>
  <c r="BE75" i="6" s="1"/>
  <c r="BM38" i="6"/>
  <c r="BM53" i="6"/>
  <c r="I56" i="6"/>
  <c r="I71" i="6"/>
  <c r="A56" i="6"/>
  <c r="A71" i="6" s="1"/>
  <c r="A154" i="6" s="1"/>
  <c r="E56" i="6"/>
  <c r="E71" i="6" s="1"/>
  <c r="B154" i="6" s="1"/>
  <c r="E51" i="6"/>
  <c r="E66" i="6" s="1"/>
  <c r="E46" i="6"/>
  <c r="E61" i="6" s="1"/>
  <c r="B152" i="6" s="1"/>
  <c r="I46" i="6"/>
  <c r="I61" i="6" s="1"/>
  <c r="C152" i="6" s="1"/>
  <c r="A51" i="6"/>
  <c r="A66" i="6" s="1"/>
  <c r="A153" i="6" s="1"/>
  <c r="I35" i="6"/>
  <c r="I51" i="6" s="1" a="1"/>
  <c r="BI22" i="6"/>
  <c r="BI38" i="6" s="1" a="1"/>
  <c r="BI38" i="6" s="1"/>
  <c r="BI53" i="6" s="1"/>
  <c r="U39" i="5"/>
  <c r="T42" i="5"/>
  <c r="T38" i="5"/>
  <c r="T37" i="5" s="1"/>
  <c r="M44" i="1"/>
  <c r="J42" i="1"/>
  <c r="M41" i="1"/>
  <c r="J41" i="1"/>
  <c r="M42" i="1"/>
  <c r="P42" i="1"/>
  <c r="P44" i="1"/>
  <c r="P41" i="1"/>
  <c r="M43" i="1"/>
  <c r="J44" i="1"/>
  <c r="P43" i="1"/>
  <c r="J43" i="1"/>
  <c r="K43" i="1"/>
  <c r="N44" i="1"/>
  <c r="K44" i="1"/>
  <c r="K42" i="1"/>
  <c r="H42" i="1"/>
  <c r="N42" i="1"/>
  <c r="H43" i="1"/>
  <c r="N43" i="1"/>
  <c r="H44" i="1"/>
  <c r="K41" i="1"/>
  <c r="N41" i="1"/>
  <c r="H41" i="1"/>
  <c r="C31" i="2" s="1"/>
  <c r="B56" i="3" s="1"/>
  <c r="M35" i="1"/>
  <c r="J35" i="1"/>
  <c r="M38" i="1"/>
  <c r="P38" i="1"/>
  <c r="M36" i="1"/>
  <c r="J38" i="1"/>
  <c r="P35" i="1"/>
  <c r="M37" i="1"/>
  <c r="J36" i="1"/>
  <c r="P37" i="1"/>
  <c r="P36" i="1"/>
  <c r="J37" i="1"/>
  <c r="I29" i="1"/>
  <c r="O30" i="1"/>
  <c r="O31" i="1"/>
  <c r="L31" i="1"/>
  <c r="L32" i="1"/>
  <c r="O32" i="1"/>
  <c r="O29" i="1"/>
  <c r="L29" i="1"/>
  <c r="L30" i="1"/>
  <c r="K31" i="1"/>
  <c r="N30" i="1"/>
  <c r="N32" i="1"/>
  <c r="K29" i="1"/>
  <c r="K30" i="1"/>
  <c r="K32" i="1"/>
  <c r="N29" i="1"/>
  <c r="H29" i="1"/>
  <c r="N31" i="1"/>
  <c r="I42" i="1"/>
  <c r="I44" i="1"/>
  <c r="O43" i="1"/>
  <c r="O44" i="1"/>
  <c r="I41" i="1"/>
  <c r="I43" i="1"/>
  <c r="L42" i="1"/>
  <c r="O42" i="1"/>
  <c r="L44" i="1"/>
  <c r="L43" i="1"/>
  <c r="O41" i="1"/>
  <c r="L41" i="1"/>
  <c r="K38" i="1"/>
  <c r="K36" i="1"/>
  <c r="H36" i="1"/>
  <c r="H35" i="1"/>
  <c r="H38" i="1"/>
  <c r="N38" i="1"/>
  <c r="N35" i="1"/>
  <c r="K35" i="1"/>
  <c r="N36" i="1"/>
  <c r="N37" i="1"/>
  <c r="K37" i="1"/>
  <c r="H37" i="1"/>
  <c r="P31" i="1"/>
  <c r="P30" i="1"/>
  <c r="M29" i="1"/>
  <c r="M31" i="1"/>
  <c r="M32" i="1"/>
  <c r="P32" i="1"/>
  <c r="P29" i="1"/>
  <c r="J29" i="1"/>
  <c r="M30" i="1"/>
  <c r="O37" i="1"/>
  <c r="L38" i="1"/>
  <c r="O35" i="1"/>
  <c r="I38" i="1"/>
  <c r="L35" i="1"/>
  <c r="O38" i="1"/>
  <c r="I35" i="1"/>
  <c r="L36" i="1"/>
  <c r="O36" i="1"/>
  <c r="I36" i="1"/>
  <c r="I37" i="1"/>
  <c r="L37" i="1"/>
  <c r="H32" i="1"/>
  <c r="H30" i="1"/>
  <c r="H31" i="1"/>
  <c r="I32" i="1"/>
  <c r="I30" i="1"/>
  <c r="I31" i="1"/>
  <c r="J30" i="1"/>
  <c r="J32" i="1"/>
  <c r="J31" i="1"/>
  <c r="E6" i="5"/>
  <c r="F6" i="5" s="1"/>
  <c r="H4" i="5" s="1"/>
  <c r="E8" i="5"/>
  <c r="F8" i="5" s="1"/>
  <c r="J4" i="5" s="1"/>
  <c r="E7" i="5"/>
  <c r="F7" i="5" s="1"/>
  <c r="I4" i="5" s="1"/>
  <c r="E4" i="5"/>
  <c r="F4" i="5" s="1"/>
  <c r="I3" i="5" s="1"/>
  <c r="E9" i="5"/>
  <c r="F9" i="5" s="1"/>
  <c r="H5" i="5" s="1"/>
  <c r="E10" i="5"/>
  <c r="F10" i="5" s="1"/>
  <c r="I5" i="5" s="1"/>
  <c r="E11" i="5"/>
  <c r="F11" i="5" s="1"/>
  <c r="J5" i="5" s="1"/>
  <c r="E5" i="5"/>
  <c r="F5" i="5" s="1"/>
  <c r="J3" i="5" s="1"/>
  <c r="E3" i="5"/>
  <c r="F3" i="5" s="1"/>
  <c r="H3" i="5" s="1"/>
  <c r="G146" i="6" l="1"/>
  <c r="H148" i="6"/>
  <c r="H147" i="6"/>
  <c r="BM65" i="6"/>
  <c r="BE53" i="6"/>
  <c r="BE65" i="6" s="1"/>
  <c r="H142" i="6"/>
  <c r="BI65" i="6"/>
  <c r="I83" i="6"/>
  <c r="C160" i="6" s="1"/>
  <c r="C154" i="6"/>
  <c r="E78" i="6"/>
  <c r="B159" i="6" s="1"/>
  <c r="B153" i="6"/>
  <c r="H140" i="6"/>
  <c r="G143" i="6"/>
  <c r="G144" i="6" s="1"/>
  <c r="BE70" i="6"/>
  <c r="E83" i="6"/>
  <c r="B160" i="6" s="1"/>
  <c r="I51" i="6"/>
  <c r="I66" i="6" s="1"/>
  <c r="A61" i="6"/>
  <c r="U38" i="5"/>
  <c r="U37" i="5" s="1"/>
  <c r="U42" i="5"/>
  <c r="I31" i="2"/>
  <c r="B55" i="3"/>
  <c r="J31" i="2"/>
  <c r="B54" i="3"/>
  <c r="C21" i="2"/>
  <c r="J21" i="2" s="1"/>
  <c r="C33" i="2"/>
  <c r="C26" i="2"/>
  <c r="C28" i="2"/>
  <c r="I28" i="2" s="1"/>
  <c r="B53" i="3"/>
  <c r="I26" i="2"/>
  <c r="J26" i="2"/>
  <c r="K31" i="2"/>
  <c r="C27" i="2"/>
  <c r="C32" i="2"/>
  <c r="C23" i="2"/>
  <c r="C22" i="2"/>
  <c r="R15" i="5" a="1"/>
  <c r="R12" i="5" a="1"/>
  <c r="R12" i="5" s="1"/>
  <c r="S12" i="5" s="1"/>
  <c r="T12" i="5" s="1"/>
  <c r="M3" i="5" a="1"/>
  <c r="M3" i="5" s="1"/>
  <c r="R9" i="5" a="1"/>
  <c r="H146" i="6" l="1"/>
  <c r="H150" i="6" s="1"/>
  <c r="G149" i="6"/>
  <c r="G150" i="6" s="1"/>
  <c r="A73" i="6"/>
  <c r="A158" i="6" s="1"/>
  <c r="A152" i="6"/>
  <c r="H144" i="6"/>
  <c r="I140" i="6" a="1"/>
  <c r="I78" i="6"/>
  <c r="C159" i="6" s="1"/>
  <c r="C153" i="6"/>
  <c r="E73" i="6"/>
  <c r="B158" i="6" s="1"/>
  <c r="I73" i="6"/>
  <c r="C158" i="6" s="1"/>
  <c r="A78" i="6"/>
  <c r="A159" i="6" s="1"/>
  <c r="A83" i="6"/>
  <c r="A160" i="6" s="1"/>
  <c r="J28" i="2"/>
  <c r="C41" i="3"/>
  <c r="C42" i="3"/>
  <c r="C44" i="3"/>
  <c r="C43" i="3"/>
  <c r="J22" i="2"/>
  <c r="K32" i="2"/>
  <c r="C53" i="3"/>
  <c r="C55" i="3"/>
  <c r="C54" i="3"/>
  <c r="C56" i="3"/>
  <c r="K27" i="2"/>
  <c r="C48" i="3"/>
  <c r="C49" i="3"/>
  <c r="C47" i="3"/>
  <c r="C50" i="3"/>
  <c r="I27" i="2"/>
  <c r="B42" i="3"/>
  <c r="B44" i="3"/>
  <c r="B41" i="3"/>
  <c r="B43" i="3"/>
  <c r="I22" i="2"/>
  <c r="K33" i="2"/>
  <c r="D56" i="3"/>
  <c r="D54" i="3"/>
  <c r="D55" i="3"/>
  <c r="D53" i="3"/>
  <c r="D43" i="3"/>
  <c r="D41" i="3"/>
  <c r="D42" i="3"/>
  <c r="D44" i="3"/>
  <c r="I32" i="2"/>
  <c r="K28" i="2"/>
  <c r="D48" i="3"/>
  <c r="D47" i="3"/>
  <c r="D49" i="3"/>
  <c r="D50" i="3"/>
  <c r="J33" i="2"/>
  <c r="I21" i="2"/>
  <c r="J32" i="2"/>
  <c r="B47" i="3"/>
  <c r="K26" i="2"/>
  <c r="B48" i="3"/>
  <c r="B50" i="3"/>
  <c r="B49" i="3"/>
  <c r="J27" i="2"/>
  <c r="J23" i="2"/>
  <c r="I33" i="2"/>
  <c r="I23" i="2"/>
  <c r="K22" i="2"/>
  <c r="K21" i="2"/>
  <c r="K23" i="2"/>
  <c r="N3" i="5"/>
  <c r="O3" i="5" s="1"/>
  <c r="P3" i="5" s="1"/>
  <c r="M15" i="5" a="1"/>
  <c r="R15" i="5"/>
  <c r="S15" i="5" s="1"/>
  <c r="T15" i="5" s="1"/>
  <c r="S16" i="5"/>
  <c r="T16" i="5" s="1"/>
  <c r="S17" i="5"/>
  <c r="T17" i="5" s="1"/>
  <c r="N5" i="5"/>
  <c r="O5" i="5" s="1"/>
  <c r="P5" i="5" s="1"/>
  <c r="Q5" i="5" s="1"/>
  <c r="R5" i="5" s="1"/>
  <c r="S5" i="5" s="1"/>
  <c r="T5" i="5" s="1"/>
  <c r="U5" i="5" s="1"/>
  <c r="V5" i="5" s="1"/>
  <c r="W5" i="5" s="1"/>
  <c r="X5" i="5" s="1"/>
  <c r="Y5" i="5" s="1"/>
  <c r="Z5" i="5" s="1"/>
  <c r="AA5" i="5" s="1"/>
  <c r="AB5" i="5" s="1"/>
  <c r="AC5" i="5" s="1"/>
  <c r="AD5" i="5" s="1"/>
  <c r="AE5" i="5" s="1"/>
  <c r="N4" i="5"/>
  <c r="O4" i="5" s="1"/>
  <c r="P4" i="5" s="1"/>
  <c r="Q4" i="5" s="1"/>
  <c r="R4" i="5" s="1"/>
  <c r="S4" i="5" s="1"/>
  <c r="T4" i="5" s="1"/>
  <c r="U4" i="5" s="1"/>
  <c r="V4" i="5" s="1"/>
  <c r="W4" i="5" s="1"/>
  <c r="X4" i="5" s="1"/>
  <c r="Y4" i="5" s="1"/>
  <c r="Z4" i="5" s="1"/>
  <c r="AA4" i="5" s="1"/>
  <c r="AB4" i="5" s="1"/>
  <c r="AC4" i="5" s="1"/>
  <c r="AD4" i="5" s="1"/>
  <c r="AE4" i="5" s="1"/>
  <c r="S13" i="5"/>
  <c r="T13" i="5" s="1"/>
  <c r="S14" i="5"/>
  <c r="T14" i="5" s="1"/>
  <c r="R9" i="5"/>
  <c r="S9" i="5" s="1"/>
  <c r="T9" i="5" s="1"/>
  <c r="S11" i="5"/>
  <c r="T11" i="5" s="1"/>
  <c r="S10" i="5"/>
  <c r="T10" i="5" s="1"/>
  <c r="I146" i="6" l="1" a="1"/>
  <c r="I140" i="6"/>
  <c r="J140" i="6" s="1"/>
  <c r="J142" i="6"/>
  <c r="J141" i="6"/>
  <c r="G152" i="6" a="1"/>
  <c r="G158" i="6" a="1"/>
  <c r="G41" i="3" a="1"/>
  <c r="G41" i="3" s="1"/>
  <c r="G47" i="3" a="1"/>
  <c r="G47" i="3" s="1"/>
  <c r="G53" i="3" a="1"/>
  <c r="G69" i="4"/>
  <c r="I71" i="4"/>
  <c r="H70" i="4"/>
  <c r="I70" i="4"/>
  <c r="I69" i="4"/>
  <c r="H69" i="4"/>
  <c r="G71" i="4"/>
  <c r="H71" i="4"/>
  <c r="G70" i="4"/>
  <c r="U14" i="5"/>
  <c r="U17" i="5"/>
  <c r="U12" i="5"/>
  <c r="U15" i="5"/>
  <c r="U13" i="5"/>
  <c r="U10" i="5"/>
  <c r="U16" i="5"/>
  <c r="M15" i="5"/>
  <c r="N15" i="5" s="1"/>
  <c r="O15" i="5" s="1"/>
  <c r="N16" i="5"/>
  <c r="O16" i="5" s="1"/>
  <c r="N17" i="5"/>
  <c r="O17" i="5" s="1"/>
  <c r="U9" i="5"/>
  <c r="Q3" i="5"/>
  <c r="R3" i="5" s="1"/>
  <c r="S3" i="5" s="1"/>
  <c r="T3" i="5" s="1"/>
  <c r="U3" i="5" s="1"/>
  <c r="V3" i="5" s="1"/>
  <c r="W3" i="5" s="1"/>
  <c r="X3" i="5" s="1"/>
  <c r="Y3" i="5" s="1"/>
  <c r="Z3" i="5" s="1"/>
  <c r="M12" i="5" a="1"/>
  <c r="U11" i="5"/>
  <c r="I146" i="6" l="1"/>
  <c r="J146" i="6" s="1"/>
  <c r="J147" i="6"/>
  <c r="J148" i="6"/>
  <c r="G158" i="6"/>
  <c r="H159" i="6" s="1"/>
  <c r="G152" i="6"/>
  <c r="H154" i="6"/>
  <c r="H153" i="6"/>
  <c r="K140" i="6" a="1"/>
  <c r="J144" i="6"/>
  <c r="G53" i="3"/>
  <c r="B52" i="4" a="1"/>
  <c r="B52" i="4" s="1"/>
  <c r="G52" i="4" s="1"/>
  <c r="B46" i="4" a="1"/>
  <c r="B46" i="4" s="1"/>
  <c r="G46" i="4" s="1"/>
  <c r="B40" i="4" a="1"/>
  <c r="B40" i="4" s="1"/>
  <c r="G40" i="4" s="1"/>
  <c r="H52" i="4"/>
  <c r="I55" i="4"/>
  <c r="G55" i="4"/>
  <c r="I52" i="4"/>
  <c r="J52" i="4"/>
  <c r="I53" i="4"/>
  <c r="H53" i="4"/>
  <c r="J53" i="4"/>
  <c r="H54" i="4"/>
  <c r="I54" i="4"/>
  <c r="G54" i="4"/>
  <c r="G64" i="4"/>
  <c r="I64" i="4"/>
  <c r="H66" i="4"/>
  <c r="I65" i="4"/>
  <c r="G65" i="4"/>
  <c r="H64" i="4"/>
  <c r="H65" i="4"/>
  <c r="I66" i="4"/>
  <c r="G66" i="4"/>
  <c r="G59" i="4"/>
  <c r="G60" i="4"/>
  <c r="G61" i="4"/>
  <c r="H59" i="4"/>
  <c r="I59" i="4"/>
  <c r="H60" i="4"/>
  <c r="I60" i="4"/>
  <c r="H61" i="4"/>
  <c r="I61" i="4"/>
  <c r="I48" i="4"/>
  <c r="H46" i="4"/>
  <c r="G48" i="4"/>
  <c r="J47" i="4"/>
  <c r="J49" i="4"/>
  <c r="I47" i="4"/>
  <c r="G47" i="4"/>
  <c r="G49" i="4"/>
  <c r="J46" i="4"/>
  <c r="L71" i="4"/>
  <c r="P17" i="5"/>
  <c r="P16" i="5"/>
  <c r="P15" i="5"/>
  <c r="M12" i="5"/>
  <c r="N12" i="5" s="1"/>
  <c r="O12" i="5" s="1"/>
  <c r="N14" i="5"/>
  <c r="O14" i="5" s="1"/>
  <c r="N13" i="5"/>
  <c r="O13" i="5" s="1"/>
  <c r="AA3" i="5"/>
  <c r="AB3" i="5" s="1"/>
  <c r="AC3" i="5" s="1"/>
  <c r="AD3" i="5" s="1"/>
  <c r="AE3" i="5" s="1"/>
  <c r="M9" i="5" a="1"/>
  <c r="K146" i="6" l="1" a="1"/>
  <c r="J150" i="6"/>
  <c r="H160" i="6"/>
  <c r="L142" i="6"/>
  <c r="L141" i="6"/>
  <c r="K140" i="6"/>
  <c r="L140" i="6" s="1"/>
  <c r="H152" i="6"/>
  <c r="G155" i="6"/>
  <c r="G156" i="6" s="1"/>
  <c r="G161" i="6"/>
  <c r="G162" i="6" s="1"/>
  <c r="H158" i="6"/>
  <c r="I42" i="4"/>
  <c r="J41" i="4"/>
  <c r="J40" i="4"/>
  <c r="I41" i="4"/>
  <c r="I40" i="4"/>
  <c r="G41" i="4"/>
  <c r="J43" i="4"/>
  <c r="I43" i="4"/>
  <c r="G42" i="4"/>
  <c r="H43" i="4"/>
  <c r="H41" i="4"/>
  <c r="I46" i="4"/>
  <c r="L49" i="4" s="1"/>
  <c r="H47" i="4"/>
  <c r="J42" i="4"/>
  <c r="L43" i="4" s="1"/>
  <c r="J48" i="4"/>
  <c r="J55" i="4"/>
  <c r="G43" i="4"/>
  <c r="H49" i="4"/>
  <c r="J54" i="4"/>
  <c r="H40" i="4"/>
  <c r="H48" i="4"/>
  <c r="H55" i="4"/>
  <c r="H42" i="4"/>
  <c r="I49" i="4"/>
  <c r="G53" i="4"/>
  <c r="L61" i="4"/>
  <c r="L66" i="4"/>
  <c r="L55" i="4"/>
  <c r="P13" i="5"/>
  <c r="P14" i="5"/>
  <c r="P12" i="5"/>
  <c r="M9" i="5"/>
  <c r="N9" i="5" s="1"/>
  <c r="O9" i="5" s="1"/>
  <c r="N10" i="5"/>
  <c r="O10" i="5" s="1"/>
  <c r="N11" i="5"/>
  <c r="O11" i="5" s="1"/>
  <c r="L147" i="6" l="1"/>
  <c r="K146" i="6"/>
  <c r="L146" i="6" s="1"/>
  <c r="L148" i="6"/>
  <c r="H162" i="6"/>
  <c r="I158" i="6" a="1"/>
  <c r="H156" i="6"/>
  <c r="I152" i="6" a="1"/>
  <c r="L144" i="6"/>
  <c r="M140" i="6" a="1"/>
  <c r="M140" i="6" s="1"/>
  <c r="N140" i="6" s="1" a="1"/>
  <c r="P10" i="5"/>
  <c r="P11" i="5"/>
  <c r="P9" i="5"/>
  <c r="L150" i="6" l="1"/>
  <c r="M146" i="6" a="1"/>
  <c r="I152" i="6"/>
  <c r="J152" i="6" s="1"/>
  <c r="J153" i="6"/>
  <c r="J154" i="6"/>
  <c r="N140" i="6"/>
  <c r="O142" i="6"/>
  <c r="O141" i="6"/>
  <c r="J160" i="6"/>
  <c r="I158" i="6"/>
  <c r="J158" i="6" s="1"/>
  <c r="J159" i="6"/>
  <c r="N148" i="6" l="1"/>
  <c r="M146" i="6"/>
  <c r="N146" i="6" s="1"/>
  <c r="N147" i="6"/>
  <c r="J162" i="6"/>
  <c r="K158" i="6" a="1"/>
  <c r="O140" i="6"/>
  <c r="P140" i="6" s="1" a="1"/>
  <c r="N144" i="6"/>
  <c r="K152" i="6" a="1"/>
  <c r="J156" i="6"/>
  <c r="N150" i="6" l="1"/>
  <c r="O146" i="6" a="1"/>
  <c r="L153" i="6"/>
  <c r="K152" i="6"/>
  <c r="L152" i="6" s="1"/>
  <c r="L154" i="6"/>
  <c r="P140" i="6"/>
  <c r="Q141" i="6"/>
  <c r="Q142" i="6"/>
  <c r="L160" i="6"/>
  <c r="K158" i="6"/>
  <c r="L158" i="6" s="1"/>
  <c r="L159" i="6"/>
  <c r="O146" i="6" l="1"/>
  <c r="P146" i="6" s="1"/>
  <c r="P147" i="6"/>
  <c r="P148" i="6"/>
  <c r="M158" i="6" a="1"/>
  <c r="L162" i="6"/>
  <c r="P144" i="6"/>
  <c r="Q140" i="6"/>
  <c r="R140" i="6" s="1" a="1"/>
  <c r="L156" i="6"/>
  <c r="M152" i="6" a="1"/>
  <c r="P150" i="6" l="1"/>
  <c r="Q146" i="6" a="1"/>
  <c r="N153" i="6"/>
  <c r="N154" i="6"/>
  <c r="M152" i="6"/>
  <c r="N152" i="6" s="1"/>
  <c r="S142" i="6"/>
  <c r="R140" i="6"/>
  <c r="S141" i="6"/>
  <c r="N160" i="6"/>
  <c r="N159" i="6"/>
  <c r="M158" i="6"/>
  <c r="N158" i="6" s="1"/>
  <c r="R147" i="6" l="1"/>
  <c r="R148" i="6"/>
  <c r="Q146" i="6"/>
  <c r="R146" i="6" s="1"/>
  <c r="O158" i="6" a="1"/>
  <c r="N162" i="6"/>
  <c r="R144" i="6"/>
  <c r="S140" i="6"/>
  <c r="T140" i="6" s="1" a="1"/>
  <c r="T140" i="6" s="1"/>
  <c r="O152" i="6" a="1"/>
  <c r="N156" i="6"/>
  <c r="R150" i="6" l="1"/>
  <c r="S146" i="6" a="1"/>
  <c r="P159" i="6"/>
  <c r="P160" i="6"/>
  <c r="O158" i="6"/>
  <c r="P158" i="6" s="1"/>
  <c r="P153" i="6"/>
  <c r="P154" i="6"/>
  <c r="O152" i="6"/>
  <c r="P152" i="6" s="1"/>
  <c r="U140" i="6" a="1"/>
  <c r="T144" i="6"/>
  <c r="T148" i="6" l="1"/>
  <c r="T147" i="6"/>
  <c r="S146" i="6"/>
  <c r="T146" i="6" s="1"/>
  <c r="V141" i="6"/>
  <c r="U140" i="6"/>
  <c r="V140" i="6" s="1"/>
  <c r="V142" i="6"/>
  <c r="Q152" i="6" a="1"/>
  <c r="P156" i="6"/>
  <c r="P162" i="6"/>
  <c r="Q158" i="6" a="1"/>
  <c r="T150" i="6" l="1"/>
  <c r="U146" i="6" a="1"/>
  <c r="R160" i="6"/>
  <c r="R159" i="6"/>
  <c r="Q158" i="6"/>
  <c r="R158" i="6" s="1"/>
  <c r="Q152" i="6"/>
  <c r="R152" i="6" s="1"/>
  <c r="R154" i="6"/>
  <c r="R153" i="6"/>
  <c r="W140" i="6" a="1"/>
  <c r="V144" i="6"/>
  <c r="U146" i="6" l="1"/>
  <c r="V146" i="6" s="1"/>
  <c r="V147" i="6"/>
  <c r="V148" i="6"/>
  <c r="X142" i="6"/>
  <c r="X141" i="6"/>
  <c r="W140" i="6"/>
  <c r="X140" i="6" s="1"/>
  <c r="AA140" i="6" s="1"/>
  <c r="S152" i="6" a="1"/>
  <c r="R156" i="6"/>
  <c r="R162" i="6"/>
  <c r="S158" i="6" a="1"/>
  <c r="V150" i="6" l="1"/>
  <c r="W146" i="6" a="1"/>
  <c r="T159" i="6"/>
  <c r="T160" i="6"/>
  <c r="S158" i="6"/>
  <c r="T158" i="6" s="1"/>
  <c r="S152" i="6"/>
  <c r="T152" i="6" s="1"/>
  <c r="T153" i="6"/>
  <c r="T154" i="6"/>
  <c r="Y140" i="6" a="1"/>
  <c r="X144" i="6"/>
  <c r="X148" i="6" l="1"/>
  <c r="W146" i="6"/>
  <c r="X146" i="6" s="1"/>
  <c r="X147" i="6"/>
  <c r="T156" i="6"/>
  <c r="U152" i="6" a="1"/>
  <c r="Z142" i="6"/>
  <c r="Y140" i="6"/>
  <c r="Z140" i="6" s="1"/>
  <c r="Z141" i="6"/>
  <c r="T162" i="6"/>
  <c r="U158" i="6" a="1"/>
  <c r="AA146" i="6" l="1"/>
  <c r="X150" i="6"/>
  <c r="Y146" i="6" a="1"/>
  <c r="AC141" i="6"/>
  <c r="U152" i="6"/>
  <c r="V152" i="6" s="1"/>
  <c r="V153" i="6"/>
  <c r="V154" i="6"/>
  <c r="U158" i="6"/>
  <c r="V158" i="6" s="1"/>
  <c r="V160" i="6"/>
  <c r="V159" i="6"/>
  <c r="AC140" i="6"/>
  <c r="Z144" i="6"/>
  <c r="AC142" i="6"/>
  <c r="AP140" i="6" s="1" a="1"/>
  <c r="AP140" i="6" s="1"/>
  <c r="Z147" i="6" l="1"/>
  <c r="Y146" i="6"/>
  <c r="Z146" i="6" s="1"/>
  <c r="Z148" i="6"/>
  <c r="AC148" i="6" s="1"/>
  <c r="AF148" i="6" s="1"/>
  <c r="F166" i="6" a="1"/>
  <c r="F166" i="6" s="1"/>
  <c r="AN32" i="6"/>
  <c r="AO31" i="6"/>
  <c r="AN31" i="6"/>
  <c r="AO30" i="6"/>
  <c r="AN30" i="6"/>
  <c r="AF18" i="6"/>
  <c r="AO32" i="6"/>
  <c r="AO33" i="6"/>
  <c r="AN33" i="6"/>
  <c r="AH140" i="6" a="1"/>
  <c r="AH140" i="6" s="1"/>
  <c r="AF19" i="6"/>
  <c r="AH18" i="6"/>
  <c r="S105" i="6"/>
  <c r="S103" i="6"/>
  <c r="AI18" i="6"/>
  <c r="AG18" i="6"/>
  <c r="AI21" i="6"/>
  <c r="R105" i="6"/>
  <c r="R103" i="6"/>
  <c r="AH21" i="6"/>
  <c r="AG21" i="6"/>
  <c r="AF21" i="6"/>
  <c r="Q105" i="6"/>
  <c r="S104" i="6"/>
  <c r="R104" i="6"/>
  <c r="Q104" i="6"/>
  <c r="AI19" i="6"/>
  <c r="AH19" i="6"/>
  <c r="Q103" i="6"/>
  <c r="AI20" i="6"/>
  <c r="AH20" i="6"/>
  <c r="AG20" i="6"/>
  <c r="AF20" i="6"/>
  <c r="AG19" i="6"/>
  <c r="AE141" i="6"/>
  <c r="AL140" i="6" a="1"/>
  <c r="AL140" i="6" s="1"/>
  <c r="AF142" i="6"/>
  <c r="AD140" i="6"/>
  <c r="V162" i="6"/>
  <c r="W158" i="6" a="1"/>
  <c r="V156" i="6"/>
  <c r="W152" i="6" a="1"/>
  <c r="AN37" i="6" l="1" a="1"/>
  <c r="AN37" i="6" s="1"/>
  <c r="AO37" i="6" a="1"/>
  <c r="AO37" i="6" s="1"/>
  <c r="Z150" i="6"/>
  <c r="AC146" i="6"/>
  <c r="AD146" i="6" s="1"/>
  <c r="AC147" i="6"/>
  <c r="AE147" i="6" s="1"/>
  <c r="AN35" i="6" a="1"/>
  <c r="AN35" i="6" s="1"/>
  <c r="AO36" i="6" a="1"/>
  <c r="AO36" i="6" s="1"/>
  <c r="Y106" i="6" a="1"/>
  <c r="Y106" i="6" s="1"/>
  <c r="X106" i="6" a="1"/>
  <c r="X106" i="6" s="1"/>
  <c r="Y108" i="6" a="1"/>
  <c r="Y108" i="6" s="1"/>
  <c r="X108" i="6" a="1"/>
  <c r="X108" i="6" s="1"/>
  <c r="Y107" i="6" a="1"/>
  <c r="Y107" i="6" s="1"/>
  <c r="X107" i="6" a="1"/>
  <c r="X107" i="6" s="1"/>
  <c r="AN34" i="6" a="1"/>
  <c r="AN34" i="6" s="1"/>
  <c r="AO35" i="6" a="1"/>
  <c r="AO35" i="6" s="1"/>
  <c r="AN36" i="6" a="1"/>
  <c r="AN36" i="6" s="1"/>
  <c r="AO34" i="6" a="1"/>
  <c r="AO34" i="6" s="1"/>
  <c r="X159" i="6"/>
  <c r="W158" i="6"/>
  <c r="X158" i="6" s="1"/>
  <c r="X160" i="6"/>
  <c r="AT140" i="6"/>
  <c r="AV142" i="6"/>
  <c r="AT142" i="6"/>
  <c r="AU141" i="6"/>
  <c r="AV140" i="6"/>
  <c r="AU142" i="6"/>
  <c r="AV141" i="6"/>
  <c r="AT141" i="6"/>
  <c r="AU140" i="6"/>
  <c r="X154" i="6"/>
  <c r="X153" i="6"/>
  <c r="W152" i="6"/>
  <c r="X152" i="6" s="1"/>
  <c r="AZ140" i="6" l="1" a="1"/>
  <c r="Y152" i="6" a="1"/>
  <c r="X156" i="6"/>
  <c r="AA152" i="6"/>
  <c r="Y158" i="6" a="1"/>
  <c r="X162" i="6"/>
  <c r="AA158" i="6"/>
  <c r="AZ140" i="6" l="1"/>
  <c r="BA141" i="6" s="1"/>
  <c r="Z159" i="6"/>
  <c r="Y158" i="6"/>
  <c r="Z158" i="6" s="1"/>
  <c r="Z160" i="6"/>
  <c r="Z153" i="6"/>
  <c r="Y152" i="6"/>
  <c r="Z152" i="6" s="1"/>
  <c r="Z154" i="6"/>
  <c r="AC154" i="6" l="1"/>
  <c r="AF154" i="6" s="1"/>
  <c r="AC160" i="6"/>
  <c r="AF160" i="6" s="1"/>
  <c r="AC152" i="6"/>
  <c r="AD152" i="6" s="1"/>
  <c r="AC153" i="6"/>
  <c r="AE153" i="6" s="1"/>
  <c r="BA142" i="6"/>
  <c r="BA140" i="6"/>
  <c r="BB140" i="6" s="1" a="1"/>
  <c r="AZ143" i="6"/>
  <c r="AZ144" i="6" s="1"/>
  <c r="Z156" i="6"/>
  <c r="AC158" i="6"/>
  <c r="AD158" i="6" s="1"/>
  <c r="Z162" i="6"/>
  <c r="AC159" i="6"/>
  <c r="AE159" i="6" s="1"/>
  <c r="V109" i="6" l="1"/>
  <c r="U109" i="6"/>
  <c r="V108" i="6"/>
  <c r="U108" i="6"/>
  <c r="U110" i="6"/>
  <c r="V110" i="6"/>
  <c r="AD21" i="6"/>
  <c r="AB21" i="6"/>
  <c r="AD20" i="6"/>
  <c r="AC20" i="6"/>
  <c r="AA20" i="6"/>
  <c r="AA19" i="6"/>
  <c r="M103" i="6"/>
  <c r="O104" i="6"/>
  <c r="AC21" i="6"/>
  <c r="AA21" i="6"/>
  <c r="AA18" i="6"/>
  <c r="AB20" i="6"/>
  <c r="AD19" i="6"/>
  <c r="AC19" i="6"/>
  <c r="AB19" i="6"/>
  <c r="AD18" i="6"/>
  <c r="AC18" i="6"/>
  <c r="AB18" i="6"/>
  <c r="O105" i="6"/>
  <c r="M105" i="6"/>
  <c r="N103" i="6"/>
  <c r="O103" i="6"/>
  <c r="M104" i="6"/>
  <c r="N104" i="6"/>
  <c r="N105" i="6"/>
  <c r="BB140" i="6"/>
  <c r="BC140" i="6" s="1"/>
  <c r="BC141" i="6"/>
  <c r="BC142" i="6"/>
  <c r="BA144" i="6"/>
  <c r="U112" i="6" l="1" a="1"/>
  <c r="U112" i="6" s="1"/>
  <c r="V112" i="6" a="1"/>
  <c r="V112" i="6" s="1"/>
  <c r="V111" i="6" a="1"/>
  <c r="V111" i="6" s="1"/>
  <c r="V113" i="6" a="1"/>
  <c r="V113" i="6" s="1"/>
  <c r="U111" i="6" a="1"/>
  <c r="U111" i="6" s="1"/>
  <c r="U113" i="6" a="1"/>
  <c r="U113" i="6" s="1"/>
  <c r="BD140" i="6" a="1"/>
  <c r="BC144" i="6"/>
  <c r="BD140" i="6" l="1"/>
  <c r="BE140" i="6" s="1"/>
  <c r="BE142" i="6"/>
  <c r="BE141" i="6"/>
  <c r="BE144" i="6" l="1"/>
  <c r="BF140" i="6" a="1"/>
  <c r="BG142" i="6" l="1"/>
  <c r="BF140" i="6"/>
  <c r="BG140" i="6" s="1"/>
  <c r="BG141" i="6"/>
  <c r="BJ141" i="6" l="1"/>
  <c r="BJ140" i="6"/>
  <c r="BJ142" i="6"/>
  <c r="BG144" i="6"/>
  <c r="BJ144" i="6" l="1"/>
  <c r="AT145" i="6" s="1" a="1"/>
  <c r="AT145" i="6" l="1"/>
  <c r="AZ145" i="6" l="1" a="1"/>
  <c r="AZ145" i="6" l="1"/>
  <c r="BA147" i="6"/>
  <c r="BA146" i="6"/>
  <c r="BA145" i="6" l="1"/>
  <c r="BB145" i="6" s="1" a="1"/>
  <c r="AZ148" i="6"/>
  <c r="AZ149" i="6" s="1"/>
  <c r="BB145" i="6" l="1"/>
  <c r="BC145" i="6" s="1"/>
  <c r="BC146" i="6"/>
  <c r="BC147" i="6"/>
  <c r="BA149" i="6"/>
  <c r="BC149" i="6" l="1"/>
  <c r="BD145" i="6" a="1"/>
  <c r="BE146" i="6" l="1"/>
  <c r="BD145" i="6"/>
  <c r="BE145" i="6" s="1"/>
  <c r="BE147" i="6"/>
  <c r="BE149" i="6" l="1"/>
  <c r="BF145" i="6" a="1"/>
  <c r="BG146" i="6" l="1"/>
  <c r="BF145" i="6"/>
  <c r="BG145" i="6" s="1"/>
  <c r="BG147" i="6"/>
  <c r="BJ145" i="6" l="1"/>
  <c r="BJ147" i="6"/>
  <c r="BJ146" i="6"/>
  <c r="BJ149" i="6" s="1" a="1"/>
  <c r="BJ149" i="6" s="1"/>
  <c r="BG149" i="6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<sst xmlns="http://schemas.openxmlformats.org/spreadsheetml/2006/main" count="577" uniqueCount="221">
  <si>
    <t>Data Tahun 2020</t>
  </si>
  <si>
    <t>Provinsi</t>
  </si>
  <si>
    <t>Kabupaten/Kota</t>
  </si>
  <si>
    <t>PPM</t>
  </si>
  <si>
    <t>RLS</t>
  </si>
  <si>
    <t>TPT</t>
  </si>
  <si>
    <t>DKI JAKARTA</t>
  </si>
  <si>
    <t>Kota Jakarta Pusat</t>
  </si>
  <si>
    <t>JAWA BARAT</t>
  </si>
  <si>
    <t>Bandung Barat</t>
  </si>
  <si>
    <t>Kota Tasikmalaya</t>
  </si>
  <si>
    <t>BANTEN</t>
  </si>
  <si>
    <t>Kota Cilegon</t>
  </si>
  <si>
    <t>Data Tahun 2021</t>
  </si>
  <si>
    <t>Data Tahun 2022</t>
  </si>
  <si>
    <t>Indikator</t>
  </si>
  <si>
    <t>Z-Score: z = (x - mean) / stdev</t>
  </si>
  <si>
    <t>Matriks W (Produk Skalar antar Wilayah)</t>
  </si>
  <si>
    <t>W1 = Z1 * Z1^T</t>
  </si>
  <si>
    <t>RV(W1,W2)</t>
  </si>
  <si>
    <t>Matriks Inter-struktur W dan Koefisien RV</t>
  </si>
  <si>
    <t>RV(W1, W1)</t>
  </si>
  <si>
    <t>RV(W1,W3)</t>
  </si>
  <si>
    <t>Score</t>
  </si>
  <si>
    <t>Variabel</t>
  </si>
  <si>
    <t>Z-Score transpose</t>
  </si>
  <si>
    <t>Loadings</t>
  </si>
  <si>
    <t>Matriks S (Produk Skalar antar Variabel)</t>
  </si>
  <si>
    <t>RV(W2, W1)</t>
  </si>
  <si>
    <t>RV(W2,W2)</t>
  </si>
  <si>
    <t>RV(W2,W3)</t>
  </si>
  <si>
    <t>RV(W3, W1)</t>
  </si>
  <si>
    <t>RV(W3,W2)</t>
  </si>
  <si>
    <t>RV(W3,W3)</t>
  </si>
  <si>
    <t>Matriks Inter-struktur S dan Koefisien RV</t>
  </si>
  <si>
    <t>Matriks RV Score:</t>
  </si>
  <si>
    <t>Matriks RV Loadings:</t>
  </si>
  <si>
    <t>RV(S1, S1)</t>
  </si>
  <si>
    <t>RV(S1,S2)</t>
  </si>
  <si>
    <t>RV(S1,S3)</t>
  </si>
  <si>
    <t>RV(S2, S1)</t>
  </si>
  <si>
    <t>RV(S2,S2)</t>
  </si>
  <si>
    <t>RV(S2,S3)</t>
  </si>
  <si>
    <t>RV(S3, S1)</t>
  </si>
  <si>
    <t>RV(S3,S2)</t>
  </si>
  <si>
    <t>RV(S3,S3)</t>
  </si>
  <si>
    <t>z3</t>
  </si>
  <si>
    <t>z4</t>
  </si>
  <si>
    <t>z5</t>
  </si>
  <si>
    <t>z6</t>
  </si>
  <si>
    <t>z7</t>
  </si>
  <si>
    <t>z8</t>
  </si>
  <si>
    <t>p3</t>
  </si>
  <si>
    <t>p4</t>
  </si>
  <si>
    <t>p5</t>
  </si>
  <si>
    <t>m3</t>
  </si>
  <si>
    <t>m4</t>
  </si>
  <si>
    <t>m5</t>
  </si>
  <si>
    <t>p6</t>
  </si>
  <si>
    <t>p7</t>
  </si>
  <si>
    <t>p8</t>
  </si>
  <si>
    <t>IPM</t>
  </si>
  <si>
    <t>JP</t>
  </si>
  <si>
    <t>Rata-rata</t>
  </si>
  <si>
    <t>Simpangan Baku</t>
  </si>
  <si>
    <t>Min</t>
  </si>
  <si>
    <t>Max</t>
  </si>
  <si>
    <t>Q1</t>
  </si>
  <si>
    <t>Q2</t>
  </si>
  <si>
    <t>Q3</t>
  </si>
  <si>
    <t>TANPA BOBOT</t>
  </si>
  <si>
    <t>Skewness</t>
  </si>
  <si>
    <t>Kurtosis</t>
  </si>
  <si>
    <t>CV (%)</t>
  </si>
  <si>
    <t>Dengan BOBOT</t>
  </si>
  <si>
    <t>Bobot</t>
  </si>
  <si>
    <t>Bobot^(1/2)</t>
  </si>
  <si>
    <t>W1 = Z1 * Z1^T (terbobot)</t>
  </si>
  <si>
    <t>terbobot</t>
  </si>
  <si>
    <t>x</t>
  </si>
  <si>
    <t>w</t>
  </si>
  <si>
    <t>w*d</t>
  </si>
  <si>
    <t>w*d*w</t>
  </si>
  <si>
    <t>w1*d*w1</t>
  </si>
  <si>
    <t>w1*d*w2</t>
  </si>
  <si>
    <t>w1*d*w3</t>
  </si>
  <si>
    <t>w2*d*w2</t>
  </si>
  <si>
    <t>w1*d</t>
  </si>
  <si>
    <t>w3*d</t>
  </si>
  <si>
    <t>w1</t>
  </si>
  <si>
    <t>w2</t>
  </si>
  <si>
    <t>w3</t>
  </si>
  <si>
    <t>w2*d*w3</t>
  </si>
  <si>
    <t>w3*d*w3</t>
  </si>
  <si>
    <t>w2*d*w1</t>
  </si>
  <si>
    <t>w3*d*w1</t>
  </si>
  <si>
    <t>w3*d*w2</t>
  </si>
  <si>
    <t>w2*d</t>
  </si>
  <si>
    <t>tr</t>
  </si>
  <si>
    <t>rv</t>
  </si>
  <si>
    <t>w*d*w*d</t>
  </si>
  <si>
    <t>w1*d*w1*d</t>
  </si>
  <si>
    <t>w1*d*w2*d</t>
  </si>
  <si>
    <t>w1*d*w3*d</t>
  </si>
  <si>
    <t>w2*d*w1*d</t>
  </si>
  <si>
    <t>w2*d*w2*d</t>
  </si>
  <si>
    <t>w2*d*w3*d</t>
  </si>
  <si>
    <t>w3*d*w1*d</t>
  </si>
  <si>
    <t>w3*d*w2*d</t>
  </si>
  <si>
    <t>w3*d*w3*d</t>
  </si>
  <si>
    <t>alpha V</t>
  </si>
  <si>
    <t>alpha W</t>
  </si>
  <si>
    <t>Vc</t>
  </si>
  <si>
    <t>rvw</t>
  </si>
  <si>
    <t>trw atau hw</t>
  </si>
  <si>
    <t>rvv</t>
  </si>
  <si>
    <t>P1</t>
  </si>
  <si>
    <t>P2</t>
  </si>
  <si>
    <t>mean tanpa bobot</t>
  </si>
  <si>
    <t>wc skenario1</t>
  </si>
  <si>
    <t>wc skenario2</t>
  </si>
  <si>
    <t>index</t>
  </si>
  <si>
    <t>U1</t>
  </si>
  <si>
    <t>U2</t>
  </si>
  <si>
    <t>Fc skenario1</t>
  </si>
  <si>
    <t>Fc skenario2</t>
  </si>
  <si>
    <t>Skenario2</t>
  </si>
  <si>
    <t>Skenario1</t>
  </si>
  <si>
    <t>Gc skenario1</t>
  </si>
  <si>
    <t>Gc skenario2</t>
  </si>
  <si>
    <t>Dim</t>
  </si>
  <si>
    <t>Eigen</t>
  </si>
  <si>
    <t>Akar Ciri</t>
  </si>
  <si>
    <t>Var (%)</t>
  </si>
  <si>
    <t>Kum (%)</t>
  </si>
  <si>
    <t>Dim 1</t>
  </si>
  <si>
    <t>Dim 2</t>
  </si>
  <si>
    <t>Dim 3</t>
  </si>
  <si>
    <t>Dim 4</t>
  </si>
  <si>
    <t>Awalan Fc skenario1</t>
  </si>
  <si>
    <t>Awalan Fc skenario2</t>
  </si>
  <si>
    <t>D^(-1/2)</t>
  </si>
  <si>
    <t>z</t>
  </si>
  <si>
    <t>zc</t>
  </si>
  <si>
    <t>zc^T</t>
  </si>
  <si>
    <t>Λ^(-1/2)</t>
  </si>
  <si>
    <t>F1</t>
  </si>
  <si>
    <t>Fk</t>
  </si>
  <si>
    <t>wk</t>
  </si>
  <si>
    <t>z1</t>
  </si>
  <si>
    <t>z2</t>
  </si>
  <si>
    <t>zk</t>
  </si>
  <si>
    <t>skenario1</t>
  </si>
  <si>
    <t>skenario2</t>
  </si>
  <si>
    <t>P Λ^(1/2)</t>
  </si>
  <si>
    <t>D^(-1/2) P Λ^(1/2)</t>
  </si>
  <si>
    <t>Vc Λ^(1/2)</t>
  </si>
  <si>
    <t>Gk=Zk^T D (Fc Λ^(-1/2))</t>
  </si>
  <si>
    <t>Gk=Sk (Vc Λ^(-1/2))</t>
  </si>
  <si>
    <t>Fk=Zk (Gc Λ^(-1/2))</t>
  </si>
  <si>
    <t>F2</t>
  </si>
  <si>
    <t>F3</t>
  </si>
  <si>
    <t>D^(1/2)</t>
  </si>
  <si>
    <t>Pteori = D(-1/2) P</t>
  </si>
  <si>
    <t>sq_s</t>
  </si>
  <si>
    <t>P_svd</t>
  </si>
  <si>
    <t>P_teori</t>
  </si>
  <si>
    <t>Sc skenario1</t>
  </si>
  <si>
    <t>Sc skenario2</t>
  </si>
  <si>
    <t>Gk</t>
  </si>
  <si>
    <t>G1</t>
  </si>
  <si>
    <t>G2</t>
  </si>
  <si>
    <t>G3</t>
  </si>
  <si>
    <t>Sk</t>
  </si>
  <si>
    <t>Sk*Sk</t>
  </si>
  <si>
    <t>S1*S1</t>
  </si>
  <si>
    <t>S2*S1</t>
  </si>
  <si>
    <t>S3*S1</t>
  </si>
  <si>
    <t>S1</t>
  </si>
  <si>
    <t>S2</t>
  </si>
  <si>
    <t>S1*S2</t>
  </si>
  <si>
    <t>S2*S2</t>
  </si>
  <si>
    <t>S3*S2</t>
  </si>
  <si>
    <t>S3</t>
  </si>
  <si>
    <t>S1*S3</t>
  </si>
  <si>
    <t>S2*S3</t>
  </si>
  <si>
    <t>S3*S3</t>
  </si>
  <si>
    <t>Fk=Wk D (P_teori Λ^(-1/2)) atau Fk=Wk D^(1/2) (P_svd Λ^(-1/2))</t>
  </si>
  <si>
    <t>Fc=∑αFk</t>
  </si>
  <si>
    <t>Gc=∑αGk</t>
  </si>
  <si>
    <t>scaleG1</t>
  </si>
  <si>
    <t>Kuantitas</t>
  </si>
  <si>
    <t>Nilai</t>
  </si>
  <si>
    <t>λ₁ (Nilai Eigen Dominan)</t>
  </si>
  <si>
    <t>‖H‖_F² (Frobenius²)</t>
  </si>
  <si>
    <t>V (SS Residual)</t>
  </si>
  <si>
    <t>V / ‖H‖_F² (Rasio Sisa)</t>
  </si>
  <si>
    <t>Inertia₁ (Dominansi %)</t>
  </si>
  <si>
    <t>96.43%</t>
  </si>
  <si>
    <t>λ₁ / λ₂ (Rasio Kegentingan)</t>
  </si>
  <si>
    <t>trs atau Hs</t>
  </si>
  <si>
    <t>Hs</t>
  </si>
  <si>
    <t>RVs</t>
  </si>
  <si>
    <t>Hw</t>
  </si>
  <si>
    <t>RVw</t>
  </si>
  <si>
    <t>Tahun (k)</t>
  </si>
  <si>
    <t>Global (u₁)</t>
  </si>
  <si>
    <t>JAWA BARAT (u₁)</t>
  </si>
  <si>
    <t>2020</t>
  </si>
  <si>
    <t>2021</t>
  </si>
  <si>
    <t>2022</t>
  </si>
  <si>
    <t>Beta k gabungan</t>
  </si>
  <si>
    <t>Beta k provinsi</t>
  </si>
  <si>
    <t>lambda1</t>
  </si>
  <si>
    <t>trace</t>
  </si>
  <si>
    <t>determinan</t>
  </si>
  <si>
    <t>u11^2 + u12^2 = 1</t>
  </si>
  <si>
    <t>u11 =</t>
  </si>
  <si>
    <t>u12^2 =</t>
  </si>
  <si>
    <t>u12 =</t>
  </si>
  <si>
    <t>* u12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</si>
</sst>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2F5597"/>
      <name val="Calibri"/>
      <family val="2"/>
      <scheme val="minor"/>
    </font>
    <font>
      <sz val="11"/>
      <color rgb="FFA9B1D6"/>
      <name val="Consolas"/>
      <family val="3"/>
    </font>
    <font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19">
    <xf numFmtId="0" fontId="0" fillId="0" borderId="0" xfId="0"/>
    <xf numFmtId="0" fontId="1" fillId="2" borderId="1" xfId="0" applyFont="1" applyFill="1" applyBorder="1"/>
    <xf numFmtId="0" fontId="0" fillId="0" borderId="1" xfId="0" applyBorder="1"/>
    <xf numFmtId="0" fontId="2" fillId="0" borderId="0" xfId="0" applyFont="1"/>
    <xf numFmtId="0" fontId="0" fillId="0" borderId="2" xfId="0" applyBorder="1"/>
    <xf numFmtId="0" fontId="3" fillId="0" borderId="0" xfId="0" applyFont="1" applyAlignment="1">
      <alignment vertic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3" borderId="0" xfId="0" applyFill="1"/>
    <xf numFmtId="0" fontId="0" fillId="4" borderId="0" xfId="0" applyFill="1"/>
    <xf numFmtId="0" fontId="0" fillId="5" borderId="0" xfId="0" applyFill="1"/>
    <xf numFmtId="0" fontId="4" fillId="0" borderId="0" xfId="1"/>
    <xf numFmtId="0" fontId="0" fillId="6" borderId="0" xfId="0" applyFill="1"/>
  </cellXfs>
  <cellStyles count="2">
    <cellStyle name="Normal" xfId="0" builtinId="0"/>
    <cellStyle name="Normal 2" xfId="1" xr:uid="{23909689-85FE-4729-945D-2D3F71B037DB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4"/>
  <sheetViews>
    <sheetView zoomScale="145" zoomScaleNormal="145" workbookViewId="0">
      <selection activeCell="D21" sqref="D21:D24"/>
    </sheetView>
  </sheetViews>
  <sheetFormatPr defaultRowHeight="15" x14ac:dyDescent="0.25"/>
  <cols>
    <col min="1" max="1" width="15.7109375" bestFit="1" customWidth="1"/>
    <col min="2" max="2" width="17" bestFit="1" customWidth="1"/>
    <col min="10" max="10" width="10.140625" bestFit="1" customWidth="1"/>
    <col min="13" max="13" width="12.85546875" bestFit="1" customWidth="1"/>
    <col min="16" max="16" width="12.28515625" bestFit="1" customWidth="1"/>
  </cols>
  <sheetData>
    <row r="1" spans="1:13" x14ac:dyDescent="0.25">
      <c r="A1" s="1" t="s">
        <v>0</v>
      </c>
    </row>
    <row r="2" spans="1:13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61</v>
      </c>
      <c r="G2" s="1" t="s">
        <v>62</v>
      </c>
    </row>
    <row r="3" spans="1:13" x14ac:dyDescent="0.25">
      <c r="A3" s="2" t="s">
        <v>6</v>
      </c>
      <c r="B3" s="2" t="s">
        <v>7</v>
      </c>
      <c r="C3" s="2">
        <v>4.51</v>
      </c>
      <c r="D3" s="2">
        <v>11.38</v>
      </c>
      <c r="E3" s="2">
        <v>10.97</v>
      </c>
      <c r="F3" s="2">
        <v>81.39</v>
      </c>
      <c r="G3" s="2">
        <v>1056896</v>
      </c>
      <c r="H3">
        <f>(C3-'2. Statistika Deskriptif'!B4)^3</f>
        <v>-39.477655125000013</v>
      </c>
      <c r="I3">
        <f>(D3-'2. Statistika Deskriptif'!B5)^3</f>
        <v>4.805419921875016</v>
      </c>
      <c r="J3">
        <f>(E3-'2. Statistika Deskriptif'!B6)^3</f>
        <v>-1.249999999999254E-7</v>
      </c>
      <c r="K3">
        <f>(C3-'2. Statistika Deskriptif'!B4)^4</f>
        <v>134.42141570062503</v>
      </c>
      <c r="L3">
        <f>(D3-'2. Statistika Deskriptif'!B5)^4</f>
        <v>8.109146118164098</v>
      </c>
      <c r="M3">
        <f>(E3-'2. Statistika Deskriptif'!B6)^4</f>
        <v>6.2499999999950267E-10</v>
      </c>
    </row>
    <row r="4" spans="1:13" x14ac:dyDescent="0.25">
      <c r="A4" s="2" t="s">
        <v>8</v>
      </c>
      <c r="B4" s="2" t="s">
        <v>9</v>
      </c>
      <c r="C4" s="2">
        <v>10.49</v>
      </c>
      <c r="D4" s="2">
        <v>8.19</v>
      </c>
      <c r="E4" s="2">
        <v>12.25</v>
      </c>
      <c r="F4" s="2">
        <v>68.08</v>
      </c>
      <c r="G4" s="2">
        <v>1782190</v>
      </c>
      <c r="H4">
        <f>(C4-'2. Statistika Deskriptif'!B4)^3</f>
        <v>17.073859375000005</v>
      </c>
      <c r="I4">
        <f>(D4-'2. Statistika Deskriptif'!B5)^3</f>
        <v>-3.3919031406249971</v>
      </c>
      <c r="J4">
        <f>(E4-'2. Statistika Deskriptif'!B6)^3</f>
        <v>2.0726718750000019</v>
      </c>
      <c r="K4">
        <f>(C4-'2. Statistika Deskriptif'!B4)^4</f>
        <v>43.965187890625018</v>
      </c>
      <c r="L4">
        <f>(D4-'2. Statistika Deskriptif'!B5)^4</f>
        <v>5.096334468789057</v>
      </c>
      <c r="M4">
        <f>(E4-'2. Statistika Deskriptif'!B6)^4</f>
        <v>2.6426566406250034</v>
      </c>
    </row>
    <row r="5" spans="1:13" x14ac:dyDescent="0.25">
      <c r="A5" s="2" t="s">
        <v>8</v>
      </c>
      <c r="B5" s="2" t="s">
        <v>10</v>
      </c>
      <c r="C5" s="2">
        <v>12.97</v>
      </c>
      <c r="D5" s="2">
        <v>9.33</v>
      </c>
      <c r="E5" s="2">
        <v>7.99</v>
      </c>
      <c r="F5" s="2">
        <v>72.97</v>
      </c>
      <c r="G5" s="2">
        <v>713670</v>
      </c>
      <c r="H5">
        <f>(C5-'2. Statistika Deskriptif'!B4)^3</f>
        <v>129.17054137500006</v>
      </c>
      <c r="I5">
        <f>(D5-'2. Statistika Deskriptif'!B5)^3</f>
        <v>-4.7634765624999582E-2</v>
      </c>
      <c r="J5">
        <f>(E5-'2. Statistika Deskriptif'!B6)^3</f>
        <v>-26.597021624999986</v>
      </c>
      <c r="K5">
        <f>(C5-'2. Statistika Deskriptif'!B4)^4</f>
        <v>652.95708665062523</v>
      </c>
      <c r="L5">
        <f>(D5-'2. Statistika Deskriptif'!B5)^4</f>
        <v>1.7267602539062295E-2</v>
      </c>
      <c r="M5">
        <f>(E5-'2. Statistika Deskriptif'!B6)^4</f>
        <v>79.392109550624951</v>
      </c>
    </row>
    <row r="6" spans="1:13" x14ac:dyDescent="0.25">
      <c r="A6" s="2" t="s">
        <v>11</v>
      </c>
      <c r="B6" s="2" t="s">
        <v>12</v>
      </c>
      <c r="C6" s="2">
        <v>3.69</v>
      </c>
      <c r="D6" s="2">
        <v>9.8699999999999992</v>
      </c>
      <c r="E6" s="2">
        <v>12.69</v>
      </c>
      <c r="F6" s="2">
        <v>73.05</v>
      </c>
      <c r="G6" s="2">
        <v>433.76</v>
      </c>
      <c r="H6">
        <f>(C6-'2. Statistika Deskriptif'!B4)^3</f>
        <v>-75.418890624999989</v>
      </c>
      <c r="I6">
        <f>(D6-'2. Statistika Deskriptif'!B5)^3</f>
        <v>5.5923593750000205E-3</v>
      </c>
      <c r="J6">
        <f>(E6-'2. Statistika Deskriptif'!B6)^3</f>
        <v>5.0442008749999987</v>
      </c>
      <c r="K6">
        <f>(C6-'2. Statistika Deskriptif'!B4)^4</f>
        <v>318.64481289062491</v>
      </c>
      <c r="L6">
        <f>(D6-'2. Statistika Deskriptif'!B5)^4</f>
        <v>9.9264378906250487E-4</v>
      </c>
      <c r="M6">
        <f>(E6-'2. Statistika Deskriptif'!B6)^4</f>
        <v>8.6508045006249965</v>
      </c>
    </row>
    <row r="7" spans="1:13" x14ac:dyDescent="0.25">
      <c r="A7" s="1" t="s">
        <v>13</v>
      </c>
    </row>
    <row r="8" spans="1:13" x14ac:dyDescent="0.25">
      <c r="A8" s="1" t="s">
        <v>1</v>
      </c>
      <c r="B8" s="1" t="s">
        <v>2</v>
      </c>
      <c r="C8" s="1" t="s">
        <v>3</v>
      </c>
      <c r="D8" s="1" t="s">
        <v>4</v>
      </c>
      <c r="E8" s="1" t="s">
        <v>5</v>
      </c>
      <c r="F8" s="1" t="s">
        <v>61</v>
      </c>
      <c r="G8" s="1" t="s">
        <v>62</v>
      </c>
    </row>
    <row r="9" spans="1:13" x14ac:dyDescent="0.25">
      <c r="A9" s="2" t="s">
        <v>6</v>
      </c>
      <c r="B9" s="2" t="s">
        <v>7</v>
      </c>
      <c r="C9" s="2">
        <v>4.9400000000000004</v>
      </c>
      <c r="D9" s="2">
        <v>11.39</v>
      </c>
      <c r="E9" s="2">
        <v>7.75</v>
      </c>
      <c r="F9" s="2">
        <v>81.790000000000006</v>
      </c>
      <c r="G9" s="2">
        <v>1057465</v>
      </c>
      <c r="H9">
        <f>(C9-'2. Statistika Deskriptif'!B9)^3</f>
        <v>-41.511587890625044</v>
      </c>
      <c r="I9">
        <f>(D9-'2. Statistika Deskriptif'!B10)^3</f>
        <v>4.0386695781250088</v>
      </c>
      <c r="J9">
        <f>(E9-'2. Statistika Deskriptif'!B11)^3</f>
        <v>-3.7058852968749956</v>
      </c>
      <c r="K9">
        <f>(C9-'2. Statistika Deskriptif'!B9)^4</f>
        <v>143.73387307128925</v>
      </c>
      <c r="L9">
        <f>(D9-'2. Statistika Deskriptif'!B10)^4</f>
        <v>6.4315813031640809</v>
      </c>
      <c r="M9">
        <f>(E9-'2. Statistika Deskriptif'!B11)^4</f>
        <v>5.7348574969140538</v>
      </c>
    </row>
    <row r="10" spans="1:13" x14ac:dyDescent="0.25">
      <c r="A10" s="2" t="s">
        <v>8</v>
      </c>
      <c r="B10" s="2" t="s">
        <v>9</v>
      </c>
      <c r="C10" s="2">
        <v>11.3</v>
      </c>
      <c r="D10" s="2">
        <v>8.1999999999999993</v>
      </c>
      <c r="E10" s="2">
        <v>11.65</v>
      </c>
      <c r="F10" s="2">
        <v>68.3</v>
      </c>
      <c r="G10" s="2">
        <v>1808420</v>
      </c>
      <c r="H10">
        <f>(C10-'2. Statistika Deskriptif'!B9)^3</f>
        <v>24.325979359374976</v>
      </c>
      <c r="I10">
        <f>(D10-'2. Statistika Deskriptif'!B10)^3</f>
        <v>-4.0768299843750011</v>
      </c>
      <c r="J10">
        <f>(E10-'2. Statistika Deskriptif'!B11)^3</f>
        <v>13.019337828125016</v>
      </c>
      <c r="K10">
        <f>(C10-'2. Statistika Deskriptif'!B9)^4</f>
        <v>70.484525193788983</v>
      </c>
      <c r="L10">
        <f>(D10-'2. Statistika Deskriptif'!B10)^4</f>
        <v>6.5127359000390639</v>
      </c>
      <c r="M10">
        <f>(E10-'2. Statistika Deskriptif'!B11)^4</f>
        <v>30.627992240664117</v>
      </c>
    </row>
    <row r="11" spans="1:13" x14ac:dyDescent="0.25">
      <c r="A11" s="2" t="s">
        <v>8</v>
      </c>
      <c r="B11" s="2" t="s">
        <v>10</v>
      </c>
      <c r="C11" s="2">
        <v>13.13</v>
      </c>
      <c r="D11" s="2">
        <v>9.52</v>
      </c>
      <c r="E11" s="2">
        <v>7.66</v>
      </c>
      <c r="F11" s="2">
        <v>73.2</v>
      </c>
      <c r="G11" s="2">
        <v>723100</v>
      </c>
      <c r="H11">
        <f>(C11-'2. Statistika Deskriptif'!B9)^3</f>
        <v>105.65610892187495</v>
      </c>
      <c r="I11">
        <f>(D11-'2. Statistika Deskriptif'!B10)^3</f>
        <v>-2.1369234374999966E-2</v>
      </c>
      <c r="J11">
        <f>(E11-'2. Statistika Deskriptif'!B11)^3</f>
        <v>-4.3908027343749945</v>
      </c>
      <c r="K11">
        <f>(C11-'2. Statistika Deskriptif'!B9)^4</f>
        <v>499.48925492816375</v>
      </c>
      <c r="L11">
        <f>(D11-'2. Statistika Deskriptif'!B10)^4</f>
        <v>5.9299625390624869E-3</v>
      </c>
      <c r="M11">
        <f>(E11-'2. Statistika Deskriptif'!B11)^4</f>
        <v>7.1899394775390491</v>
      </c>
    </row>
    <row r="12" spans="1:13" x14ac:dyDescent="0.25">
      <c r="A12" s="2" t="s">
        <v>11</v>
      </c>
      <c r="B12" s="2" t="s">
        <v>12</v>
      </c>
      <c r="C12" s="2">
        <v>4.24</v>
      </c>
      <c r="D12" s="2">
        <v>10.08</v>
      </c>
      <c r="E12" s="2">
        <v>10.130000000000001</v>
      </c>
      <c r="F12" s="2">
        <v>73.3</v>
      </c>
      <c r="G12" s="2">
        <v>439.48</v>
      </c>
      <c r="H12">
        <f>(C12-'2. Statistika Deskriptif'!B9)^3</f>
        <v>-72.121166015625079</v>
      </c>
      <c r="I12">
        <f>(D12-'2. Statistika Deskriptif'!B10)^3</f>
        <v>2.2545265625000151E-2</v>
      </c>
      <c r="J12">
        <f>(E12-'2. Statistika Deskriptif'!B11)^3</f>
        <v>0.57696932812500279</v>
      </c>
      <c r="K12">
        <f>(C12-'2. Statistika Deskriptif'!B9)^4</f>
        <v>300.20435354003951</v>
      </c>
      <c r="L12">
        <f>(D12-'2. Statistika Deskriptif'!B10)^4</f>
        <v>6.3690375390625569E-3</v>
      </c>
      <c r="M12">
        <f>(E12-'2. Statistika Deskriptif'!B11)^4</f>
        <v>0.48032696566406563</v>
      </c>
    </row>
    <row r="13" spans="1:13" x14ac:dyDescent="0.25">
      <c r="A13" s="1" t="s">
        <v>14</v>
      </c>
    </row>
    <row r="14" spans="1:13" x14ac:dyDescent="0.25">
      <c r="A14" s="1" t="s">
        <v>1</v>
      </c>
      <c r="B14" s="1" t="s">
        <v>2</v>
      </c>
      <c r="C14" s="1" t="s">
        <v>3</v>
      </c>
      <c r="D14" s="1" t="s">
        <v>4</v>
      </c>
      <c r="E14" s="1" t="s">
        <v>5</v>
      </c>
      <c r="F14" s="1" t="s">
        <v>61</v>
      </c>
      <c r="G14" s="1" t="s">
        <v>62</v>
      </c>
    </row>
    <row r="15" spans="1:13" x14ac:dyDescent="0.25">
      <c r="A15" s="2" t="s">
        <v>6</v>
      </c>
      <c r="B15" s="2" t="s">
        <v>7</v>
      </c>
      <c r="C15" s="2">
        <v>4.9000000000000004</v>
      </c>
      <c r="D15" s="2">
        <v>11.53</v>
      </c>
      <c r="E15" s="2">
        <v>5.88</v>
      </c>
      <c r="F15" s="2">
        <v>82.13</v>
      </c>
      <c r="G15" s="2">
        <v>1053482</v>
      </c>
      <c r="H15">
        <f>(C15-'2. Statistika Deskriptif'!B14)^3</f>
        <v>-30.371327999999977</v>
      </c>
      <c r="I15">
        <f>(D15-'2. Statistika Deskriptif'!B15)^3</f>
        <v>4.2910156249999858</v>
      </c>
      <c r="J15">
        <f>(E15-'2. Statistika Deskriptif'!B16)^3</f>
        <v>-4.7204954843750091</v>
      </c>
      <c r="K15">
        <f>(C15-'2. Statistika Deskriptif'!B14)^4</f>
        <v>94.758543359999919</v>
      </c>
      <c r="L15">
        <f>(D15-'2. Statistika Deskriptif'!B15)^4</f>
        <v>6.9729003906249698</v>
      </c>
      <c r="M15">
        <f>(E15-'2. Statistika Deskriptif'!B16)^4</f>
        <v>7.9186311750390841</v>
      </c>
    </row>
    <row r="16" spans="1:13" x14ac:dyDescent="0.25">
      <c r="A16" s="2" t="s">
        <v>8</v>
      </c>
      <c r="B16" s="2" t="s">
        <v>9</v>
      </c>
      <c r="C16" s="2">
        <v>10.82</v>
      </c>
      <c r="D16" s="2">
        <v>8.2200000000000006</v>
      </c>
      <c r="E16" s="2">
        <v>9.6300000000000008</v>
      </c>
      <c r="F16" s="2">
        <v>69.040000000000006</v>
      </c>
      <c r="G16" s="2">
        <v>1834230</v>
      </c>
      <c r="H16">
        <f>(C16-'2. Statistika Deskriptif'!B14)^3</f>
        <v>21.952000000000016</v>
      </c>
      <c r="I16">
        <f>(D16-'2. Statistika Deskriptif'!B15)^3</f>
        <v>-4.7840941250000046</v>
      </c>
      <c r="J16">
        <f>(E16-'2. Statistika Deskriptif'!B16)^3</f>
        <v>8.9019185781249988</v>
      </c>
      <c r="K16">
        <f>(C16-'2. Statistika Deskriptif'!B14)^4</f>
        <v>61.465600000000066</v>
      </c>
      <c r="L16">
        <f>(D16-'2. Statistika Deskriptif'!B15)^4</f>
        <v>8.0611986006250103</v>
      </c>
      <c r="M16">
        <f>(E16-'2. Statistika Deskriptif'!B16)^4</f>
        <v>18.44922625316406</v>
      </c>
    </row>
    <row r="17" spans="1:16" x14ac:dyDescent="0.25">
      <c r="A17" s="2" t="s">
        <v>8</v>
      </c>
      <c r="B17" s="2" t="s">
        <v>10</v>
      </c>
      <c r="C17" s="2">
        <v>12.72</v>
      </c>
      <c r="D17" s="2">
        <v>9.5299999999999994</v>
      </c>
      <c r="E17" s="2">
        <v>6.62</v>
      </c>
      <c r="F17" s="2">
        <v>73.83</v>
      </c>
      <c r="G17" s="2">
        <v>732480</v>
      </c>
      <c r="H17">
        <f>(C17-'2. Statistika Deskriptif'!B14)^3</f>
        <v>103.82300000000008</v>
      </c>
      <c r="I17">
        <f>(D17-'2. Statistika Deskriptif'!B15)^3</f>
        <v>-5.2734375000000749E-2</v>
      </c>
      <c r="J17">
        <f>(E17-'2. Statistika Deskriptif'!B16)^3</f>
        <v>-0.82397460937500233</v>
      </c>
      <c r="K17">
        <f>(C17-'2. Statistika Deskriptif'!B14)^4</f>
        <v>487.96810000000045</v>
      </c>
      <c r="L17">
        <f>(D17-'2. Statistika Deskriptif'!B15)^4</f>
        <v>1.9775390625000375E-2</v>
      </c>
      <c r="M17">
        <f>(E17-'2. Statistika Deskriptif'!B16)^4</f>
        <v>0.77247619628906539</v>
      </c>
    </row>
    <row r="18" spans="1:16" x14ac:dyDescent="0.25">
      <c r="A18" s="2" t="s">
        <v>11</v>
      </c>
      <c r="B18" s="2" t="s">
        <v>12</v>
      </c>
      <c r="C18" s="2">
        <v>3.64</v>
      </c>
      <c r="D18" s="2">
        <v>10.34</v>
      </c>
      <c r="E18" s="2">
        <v>8.1</v>
      </c>
      <c r="F18" s="2">
        <v>73.95</v>
      </c>
      <c r="G18" s="2">
        <v>445.06</v>
      </c>
      <c r="H18">
        <f>(C18-'2. Statistika Deskriptif'!B14)^3</f>
        <v>-84.027671999999953</v>
      </c>
      <c r="I18">
        <f>(D18-'2. Statistika Deskriptif'!B15)^3</f>
        <v>8.2312874999999272E-2</v>
      </c>
      <c r="J18">
        <f>(E18-'2. Statistika Deskriptif'!B16)^3</f>
        <v>0.15966114062499881</v>
      </c>
      <c r="K18">
        <f>(C18-'2. Statistika Deskriptif'!B14)^4</f>
        <v>368.04120335999971</v>
      </c>
      <c r="L18">
        <f>(D18-'2. Statistika Deskriptif'!B15)^4</f>
        <v>3.580610062499958E-2</v>
      </c>
      <c r="M18">
        <f>(E18-'2. Statistika Deskriptif'!B16)^4</f>
        <v>8.6616168789061643E-2</v>
      </c>
    </row>
    <row r="20" spans="1:16" x14ac:dyDescent="0.25">
      <c r="A20" s="1" t="s">
        <v>1</v>
      </c>
      <c r="B20" s="1" t="s">
        <v>2</v>
      </c>
      <c r="C20" s="1" t="s">
        <v>63</v>
      </c>
      <c r="D20" s="1" t="s">
        <v>75</v>
      </c>
      <c r="E20" s="1" t="s">
        <v>76</v>
      </c>
    </row>
    <row r="21" spans="1:16" x14ac:dyDescent="0.25">
      <c r="A21" s="2" t="s">
        <v>6</v>
      </c>
      <c r="B21" s="2" t="s">
        <v>7</v>
      </c>
      <c r="C21" s="2">
        <f>(G3+G9+G15)/3</f>
        <v>1055947.6666666667</v>
      </c>
      <c r="D21" s="2">
        <f>C21/C$25</f>
        <v>0.29432026733409078</v>
      </c>
      <c r="E21" s="2">
        <f>SQRT(D21)</f>
        <v>0.54251291904810039</v>
      </c>
    </row>
    <row r="22" spans="1:16" x14ac:dyDescent="0.25">
      <c r="A22" s="2" t="s">
        <v>8</v>
      </c>
      <c r="B22" s="2" t="s">
        <v>9</v>
      </c>
      <c r="C22" s="2">
        <f>(G4+G10+G16)/3</f>
        <v>1808280</v>
      </c>
      <c r="D22" s="2">
        <f t="shared" ref="D22:D24" si="0">C22/C$25</f>
        <v>0.50401499034032582</v>
      </c>
      <c r="E22" s="2">
        <f t="shared" ref="E22:E24" si="1">SQRT(D22)</f>
        <v>0.70994013151837376</v>
      </c>
    </row>
    <row r="23" spans="1:16" x14ac:dyDescent="0.25">
      <c r="A23" s="2" t="s">
        <v>8</v>
      </c>
      <c r="B23" s="2" t="s">
        <v>10</v>
      </c>
      <c r="C23" s="2">
        <f>(G5+G11+G17)/3</f>
        <v>723083.33333333337</v>
      </c>
      <c r="D23" s="2">
        <f t="shared" si="0"/>
        <v>0.20154226074792103</v>
      </c>
      <c r="E23" s="2">
        <f t="shared" si="1"/>
        <v>0.44893458404083886</v>
      </c>
    </row>
    <row r="24" spans="1:16" x14ac:dyDescent="0.25">
      <c r="A24" s="2" t="s">
        <v>11</v>
      </c>
      <c r="B24" s="2" t="s">
        <v>12</v>
      </c>
      <c r="C24" s="2">
        <f>(G6+G12+G18)/3</f>
        <v>439.43333333333334</v>
      </c>
      <c r="D24" s="2">
        <f t="shared" si="0"/>
        <v>1.2248157766231845E-4</v>
      </c>
      <c r="E24" s="2">
        <f t="shared" si="1"/>
        <v>1.1067139542913447E-2</v>
      </c>
    </row>
    <row r="25" spans="1:16" x14ac:dyDescent="0.25">
      <c r="C25" s="4">
        <f>SUM(C21:C24)</f>
        <v>3587750.4333333336</v>
      </c>
    </row>
    <row r="27" spans="1:16" x14ac:dyDescent="0.25">
      <c r="A27" s="1" t="s">
        <v>0</v>
      </c>
    </row>
    <row r="28" spans="1:16" x14ac:dyDescent="0.25">
      <c r="A28" s="1" t="s">
        <v>1</v>
      </c>
      <c r="B28" s="1" t="s">
        <v>2</v>
      </c>
      <c r="C28" s="1" t="s">
        <v>3</v>
      </c>
      <c r="D28" s="1" t="s">
        <v>4</v>
      </c>
      <c r="E28" s="1" t="s">
        <v>5</v>
      </c>
      <c r="F28" s="1" t="s">
        <v>61</v>
      </c>
      <c r="G28" s="1" t="s">
        <v>62</v>
      </c>
    </row>
    <row r="29" spans="1:16" x14ac:dyDescent="0.25">
      <c r="A29" s="2" t="s">
        <v>6</v>
      </c>
      <c r="B29" s="2" t="s">
        <v>7</v>
      </c>
      <c r="C29" s="2">
        <f>C3*$D21</f>
        <v>1.3273844056767494</v>
      </c>
      <c r="D29" s="2">
        <f t="shared" ref="D29:G29" si="2">D3*$D21</f>
        <v>3.3493646422619534</v>
      </c>
      <c r="E29" s="2">
        <f t="shared" si="2"/>
        <v>3.2286933326549758</v>
      </c>
      <c r="F29" s="2">
        <f t="shared" si="2"/>
        <v>23.954726558321649</v>
      </c>
      <c r="G29" s="2">
        <f t="shared" si="2"/>
        <v>311065.91326433123</v>
      </c>
      <c r="H29" s="4">
        <f>((C3-'2. Statistika Deskriptif'!B$21)^2)*$D21</f>
        <v>6.5540863692277433</v>
      </c>
      <c r="I29" s="4">
        <f>((D3-'2. Statistika Deskriptif'!B$22)^2)*$D21</f>
        <v>1.2023174559240288</v>
      </c>
      <c r="J29">
        <f>((E3-'2. Statistika Deskriptif'!B$23)^2)*$D21</f>
        <v>5.8949796575725783E-4</v>
      </c>
      <c r="K29">
        <f>((C3-'2. Statistika Deskriptif'!B$21)^3)*$D21</f>
        <v>-30.92845000249303</v>
      </c>
      <c r="L29">
        <f>((D3-'2. Statistika Deskriptif'!B$22)^3)*$D21</f>
        <v>2.4300692173211229</v>
      </c>
      <c r="M29">
        <f>((E3-'2. Statistika Deskriptif'!B$23)^3)*$D21</f>
        <v>-2.6382344163235446E-5</v>
      </c>
      <c r="N29">
        <f>((C3-'2. Statistika Deskriptif'!B$21)^4)*$D21</f>
        <v>145.95001738883431</v>
      </c>
      <c r="O29">
        <f>((D3-'2. Statistika Deskriptif'!B$22)^4)*$D21</f>
        <v>4.9115450930829949</v>
      </c>
      <c r="P29">
        <f>((E3-'2. Statistika Deskriptif'!B$23)^4)*$D21</f>
        <v>1.1807132916112764E-6</v>
      </c>
    </row>
    <row r="30" spans="1:16" x14ac:dyDescent="0.25">
      <c r="A30" s="2" t="s">
        <v>8</v>
      </c>
      <c r="B30" s="2" t="s">
        <v>9</v>
      </c>
      <c r="C30" s="2">
        <f t="shared" ref="C30:G30" si="3">C4*$D22</f>
        <v>5.2871172486700182</v>
      </c>
      <c r="D30" s="2">
        <f t="shared" si="3"/>
        <v>4.1278827708872683</v>
      </c>
      <c r="E30" s="2">
        <f t="shared" si="3"/>
        <v>6.1741836316689911</v>
      </c>
      <c r="F30" s="2">
        <f t="shared" si="3"/>
        <v>34.313340542369382</v>
      </c>
      <c r="G30" s="2">
        <f t="shared" si="3"/>
        <v>898250.4756346253</v>
      </c>
      <c r="H30" s="4">
        <f>((C4-'2. Statistika Deskriptif'!B$21)^2)*$D22</f>
        <v>0.80149981885692678</v>
      </c>
      <c r="I30" s="4">
        <f>((D4-'2. Statistika Deskriptif'!B$22)^2)*$D22</f>
        <v>0.68858529720798056</v>
      </c>
      <c r="J30">
        <f>((E4-'2. Statistika Deskriptif'!B$23)^2)*$D22</f>
        <v>0.76904264468871986</v>
      </c>
      <c r="K30">
        <f>((C4-'2. Statistika Deskriptif'!B$21)^3)*$D22</f>
        <v>1.0107259498557426</v>
      </c>
      <c r="L30">
        <f>((D4-'2. Statistika Deskriptif'!B$22)^3)*$D22</f>
        <v>-0.80484989424572395</v>
      </c>
      <c r="M30">
        <f>((E4-'2. Statistika Deskriptif'!B$23)^3)*$D22</f>
        <v>0.9499569130348392</v>
      </c>
      <c r="N30">
        <f>((C4-'2. Statistika Deskriptif'!B$21)^4)*$D22</f>
        <v>1.2745691535760033</v>
      </c>
      <c r="O30">
        <f>((D4-'2. Statistika Deskriptif'!B$22)^4)*$D22</f>
        <v>0.94074525682429211</v>
      </c>
      <c r="P30">
        <f>((E4-'2. Statistika Deskriptif'!B$23)^4)*$D22</f>
        <v>1.1734305540207679</v>
      </c>
    </row>
    <row r="31" spans="1:16" x14ac:dyDescent="0.25">
      <c r="A31" s="2" t="s">
        <v>8</v>
      </c>
      <c r="B31" s="2" t="s">
        <v>10</v>
      </c>
      <c r="C31" s="2">
        <f t="shared" ref="C31:G31" si="4">C5*$D23</f>
        <v>2.6140031219005357</v>
      </c>
      <c r="D31" s="2">
        <f t="shared" si="4"/>
        <v>1.8803892927781032</v>
      </c>
      <c r="E31" s="2">
        <f t="shared" si="4"/>
        <v>1.6103226633758891</v>
      </c>
      <c r="F31" s="2">
        <f t="shared" si="4"/>
        <v>14.706538766775797</v>
      </c>
      <c r="G31" s="2">
        <f t="shared" si="4"/>
        <v>143834.6652279688</v>
      </c>
      <c r="H31" s="4">
        <f>((C5-'2. Statistika Deskriptif'!B$21)^2)*$D23</f>
        <v>2.820665508067262</v>
      </c>
      <c r="I31" s="4">
        <f>((D5-'2. Statistika Deskriptif'!B$22)^2)*$D23</f>
        <v>1.6769698419622853E-4</v>
      </c>
      <c r="J31">
        <f>((E5-'2. Statistika Deskriptif'!B$23)^2)*$D23</f>
        <v>1.8439376077514917</v>
      </c>
      <c r="K31">
        <f>((C5-'2. Statistika Deskriptif'!B$21)^3)*$D23</f>
        <v>10.552231706655755</v>
      </c>
      <c r="L31">
        <f>((D5-'2. Statistika Deskriptif'!B$22)^3)*$D23</f>
        <v>-4.8373199762110559E-6</v>
      </c>
      <c r="M31">
        <f>((E5-'2. Statistika Deskriptif'!B$23)^3)*$D23</f>
        <v>-5.5774575052910151</v>
      </c>
      <c r="N31">
        <f>((C5-'2. Statistika Deskriptif'!B$21)^4)*$D23</f>
        <v>39.476355375171188</v>
      </c>
      <c r="O31">
        <f>((D5-'2. Statistika Deskriptif'!B$22)^4)*$D23</f>
        <v>1.3953539274665605E-7</v>
      </c>
      <c r="P31">
        <f>((E5-'2. Statistika Deskriptif'!B$23)^4)*$D23</f>
        <v>16.870436446740946</v>
      </c>
    </row>
    <row r="32" spans="1:16" x14ac:dyDescent="0.25">
      <c r="A32" s="2" t="s">
        <v>11</v>
      </c>
      <c r="B32" s="2" t="s">
        <v>12</v>
      </c>
      <c r="C32" s="2">
        <f t="shared" ref="C32:G32" si="5">C6*$D24</f>
        <v>4.5195702157395503E-4</v>
      </c>
      <c r="D32" s="2">
        <f t="shared" si="5"/>
        <v>1.2088931715270831E-3</v>
      </c>
      <c r="E32" s="2">
        <f t="shared" si="5"/>
        <v>1.5542912205348211E-3</v>
      </c>
      <c r="F32" s="2">
        <f t="shared" si="5"/>
        <v>8.9472792482323624E-3</v>
      </c>
      <c r="G32" s="2">
        <f t="shared" si="5"/>
        <v>5.3127609126807251E-2</v>
      </c>
      <c r="H32" s="4">
        <f>((C6-'2. Statistika Deskriptif'!B$21)^2)*$D24</f>
        <v>3.7577399093073646E-3</v>
      </c>
      <c r="I32" s="4">
        <f>((D6-'2. Statistika Deskriptif'!B$22)^2)*$D24</f>
        <v>3.2001842274494881E-5</v>
      </c>
      <c r="J32">
        <f>((E6-'2. Statistika Deskriptif'!B$23)^2)*$D24</f>
        <v>3.437383540820161E-4</v>
      </c>
      <c r="K32">
        <f>((C6-'2. Statistika Deskriptif'!B$21)^3)*$D24</f>
        <v>-2.0813958772531206E-2</v>
      </c>
      <c r="L32">
        <f>((D6-'2. Statistika Deskriptif'!B$22)^3)*$D24</f>
        <v>1.6357882515552413E-5</v>
      </c>
      <c r="M32">
        <f>((E6-'2. Statistika Deskriptif'!B$23)^3)*$D24</f>
        <v>5.758463305926523E-4</v>
      </c>
      <c r="N32">
        <f>((C6-'2. Statistika Deskriptif'!B$21)^4)*$D24</f>
        <v>0.11528761708909256</v>
      </c>
      <c r="O32">
        <f>((D6-'2. Statistika Deskriptif'!B$22)^4)*$D24</f>
        <v>8.3614036372485301E-6</v>
      </c>
      <c r="P32">
        <f>((E6-'2. Statistika Deskriptif'!B$23)^4)*$D24</f>
        <v>9.6468430862941331E-4</v>
      </c>
    </row>
    <row r="33" spans="1:16" x14ac:dyDescent="0.25">
      <c r="A33" s="1" t="s">
        <v>13</v>
      </c>
    </row>
    <row r="34" spans="1:16" x14ac:dyDescent="0.25">
      <c r="A34" s="1" t="s">
        <v>1</v>
      </c>
      <c r="B34" s="1" t="s">
        <v>2</v>
      </c>
      <c r="C34" s="1" t="s">
        <v>3</v>
      </c>
      <c r="D34" s="1" t="s">
        <v>4</v>
      </c>
      <c r="E34" s="1" t="s">
        <v>5</v>
      </c>
      <c r="F34" s="1" t="s">
        <v>61</v>
      </c>
      <c r="G34" s="1" t="s">
        <v>62</v>
      </c>
    </row>
    <row r="35" spans="1:16" x14ac:dyDescent="0.25">
      <c r="A35" s="2" t="s">
        <v>6</v>
      </c>
      <c r="B35" s="2" t="s">
        <v>7</v>
      </c>
      <c r="C35" s="2">
        <f>C9*$D21</f>
        <v>1.4539421206304086</v>
      </c>
      <c r="D35" s="2">
        <f t="shared" ref="D35:G35" si="6">D9*$D21</f>
        <v>3.3523078449352943</v>
      </c>
      <c r="E35" s="2">
        <f t="shared" si="6"/>
        <v>2.2809820718392038</v>
      </c>
      <c r="F35" s="2">
        <f t="shared" si="6"/>
        <v>24.072454665255286</v>
      </c>
      <c r="G35" s="2">
        <f t="shared" si="6"/>
        <v>311233.38149644429</v>
      </c>
      <c r="H35" s="4">
        <f>((C9-'2. Statistika Deskriptif'!B$26)^2)*$D21</f>
        <v>6.9405192499062354</v>
      </c>
      <c r="I35" s="4">
        <f>((D9-'2. Statistika Deskriptif'!B$27)^2)*$D21</f>
        <v>1.1595154987518137</v>
      </c>
      <c r="J35">
        <f>((E9-'2. Statistika Deskriptif'!B$28)^2)*$D21</f>
        <v>1.1166417744836827</v>
      </c>
      <c r="K35">
        <f>((C9-'2. Statistika Deskriptif'!B$26)^3)*$D21</f>
        <v>-33.703721695336903</v>
      </c>
      <c r="L35">
        <f>((D9-'2. Statistika Deskriptif'!B$27)^3)*$D21</f>
        <v>2.301467001859471</v>
      </c>
      <c r="M35">
        <f>((E9-'2. Statistika Deskriptif'!B$28)^3)*$D21</f>
        <v>-2.1750073156612491</v>
      </c>
      <c r="N35">
        <f>((C9-'2. Statistika Deskriptif'!B$26)^4)*$D21</f>
        <v>163.66799301537412</v>
      </c>
      <c r="O35">
        <f>((D9-'2. Statistika Deskriptif'!B$27)^4)*$D21</f>
        <v>4.5680720666087069</v>
      </c>
      <c r="P35">
        <f>((E9-'2. Statistika Deskriptif'!B$28)^4)*$D21</f>
        <v>4.2365035334338383</v>
      </c>
    </row>
    <row r="36" spans="1:16" x14ac:dyDescent="0.25">
      <c r="A36" s="2" t="s">
        <v>8</v>
      </c>
      <c r="B36" s="2" t="s">
        <v>9</v>
      </c>
      <c r="C36" s="2">
        <f t="shared" ref="C36:G36" si="7">C10*$D22</f>
        <v>5.6953693908456824</v>
      </c>
      <c r="D36" s="2">
        <f t="shared" si="7"/>
        <v>4.132922920790671</v>
      </c>
      <c r="E36" s="2">
        <f t="shared" si="7"/>
        <v>5.8717746374647959</v>
      </c>
      <c r="F36" s="2">
        <f t="shared" si="7"/>
        <v>34.424223840244252</v>
      </c>
      <c r="G36" s="2">
        <f t="shared" si="7"/>
        <v>911470.78883125202</v>
      </c>
      <c r="H36" s="4">
        <f>((C10-'2. Statistika Deskriptif'!B$26)^2)*$D22</f>
        <v>1.1399676025007472</v>
      </c>
      <c r="I36" s="4">
        <f>((D10-'2. Statistika Deskriptif'!B$27)^2)*$D22</f>
        <v>0.7320217878616988</v>
      </c>
      <c r="J36">
        <f>((E10-'2. Statistika Deskriptif'!B$28)^2)*$D22</f>
        <v>1.9208219175155063</v>
      </c>
      <c r="K36">
        <f>((C10-'2. Statistika Deskriptif'!B$26)^3)*$D22</f>
        <v>1.7144192594125898</v>
      </c>
      <c r="L36">
        <f>((D10-'2. Statistika Deskriptif'!B$27)^3)*$D22</f>
        <v>-0.88219437571094161</v>
      </c>
      <c r="M36">
        <f>((E10-'2. Statistika Deskriptif'!B$28)^3)*$D22</f>
        <v>3.7498071013686456</v>
      </c>
      <c r="N36">
        <f>((C10-'2. Statistika Deskriptif'!B$26)^4)*$D22</f>
        <v>2.5783481834018929</v>
      </c>
      <c r="O36">
        <f>((D10-'2. Statistika Deskriptif'!B$27)^4)*$D22</f>
        <v>1.0631745249132614</v>
      </c>
      <c r="P36">
        <f>((E10-'2. Statistika Deskriptif'!B$28)^4)*$D22</f>
        <v>7.3203315566401077</v>
      </c>
    </row>
    <row r="37" spans="1:16" x14ac:dyDescent="0.25">
      <c r="A37" s="2" t="s">
        <v>8</v>
      </c>
      <c r="B37" s="2" t="s">
        <v>10</v>
      </c>
      <c r="C37" s="2">
        <f t="shared" ref="C37:G37" si="8">C11*$D23</f>
        <v>2.6462498836202033</v>
      </c>
      <c r="D37" s="2">
        <f t="shared" si="8"/>
        <v>1.9186823223202081</v>
      </c>
      <c r="E37" s="2">
        <f t="shared" si="8"/>
        <v>1.5438137173290751</v>
      </c>
      <c r="F37" s="2">
        <f t="shared" si="8"/>
        <v>14.752893486747819</v>
      </c>
      <c r="G37" s="2">
        <f t="shared" si="8"/>
        <v>145735.20874682171</v>
      </c>
      <c r="H37" s="4">
        <f>((C11-'2. Statistika Deskriptif'!B$26)^2)*$D23</f>
        <v>2.2401458127743359</v>
      </c>
      <c r="I37" s="4">
        <f>((D11-'2. Statistika Deskriptif'!B$27)^2)*$D23</f>
        <v>2.6585540942063637E-3</v>
      </c>
      <c r="J37">
        <f>((E11-'2. Statistika Deskriptif'!B$28)^2)*$D23</f>
        <v>0.83693937549183994</v>
      </c>
      <c r="K37">
        <f>((C11-'2. Statistika Deskriptif'!B$26)^3)*$D23</f>
        <v>7.4684653219723662</v>
      </c>
      <c r="L37">
        <f>((D11-'2. Statistika Deskriptif'!B$27)^3)*$D23</f>
        <v>3.0534104614904513E-4</v>
      </c>
      <c r="M37">
        <f>((E11-'2. Statistika Deskriptif'!B$28)^3)*$D23</f>
        <v>-1.7055244038177808</v>
      </c>
      <c r="N37">
        <f>((C11-'2. Statistika Deskriptif'!B$26)^4)*$D23</f>
        <v>24.899260551448165</v>
      </c>
      <c r="O37">
        <f>((D11-'2. Statistika Deskriptif'!B$27)^4)*$D23</f>
        <v>3.5069120717374545E-5</v>
      </c>
      <c r="P37">
        <f>((E11-'2. Statistika Deskriptif'!B$28)^4)*$D23</f>
        <v>3.4755366723050742</v>
      </c>
    </row>
    <row r="38" spans="1:16" x14ac:dyDescent="0.25">
      <c r="A38" s="2" t="s">
        <v>11</v>
      </c>
      <c r="B38" s="2" t="s">
        <v>12</v>
      </c>
      <c r="C38" s="2">
        <f t="shared" ref="C38:G38" si="9">C12*$D24</f>
        <v>5.1932188928823029E-4</v>
      </c>
      <c r="D38" s="2">
        <f t="shared" si="9"/>
        <v>1.23461430283617E-3</v>
      </c>
      <c r="E38" s="2">
        <f t="shared" si="9"/>
        <v>1.2407383817192859E-3</v>
      </c>
      <c r="F38" s="2">
        <f t="shared" si="9"/>
        <v>8.9778996426479411E-3</v>
      </c>
      <c r="G38" s="2">
        <f t="shared" si="9"/>
        <v>5.3828203751035711E-2</v>
      </c>
      <c r="H38" s="4">
        <f>((C12-'2. Statistika Deskriptif'!B$26)^2)*$D24</f>
        <v>3.7810103362022848E-3</v>
      </c>
      <c r="I38" s="4">
        <f>((D12-'2. Statistika Deskriptif'!B$27)^2)*$D24</f>
        <v>5.5781248891862822E-5</v>
      </c>
      <c r="J38">
        <f>((E12-'2. Statistika Deskriptif'!B$28)^2)*$D24</f>
        <v>2.2877989606347136E-5</v>
      </c>
      <c r="K38">
        <f>((C12-'2. Statistika Deskriptif'!B$26)^3)*$D24</f>
        <v>-2.1007598619696685E-2</v>
      </c>
      <c r="L38">
        <f>((D12-'2. Statistika Deskriptif'!B$27)^3)*$D24</f>
        <v>3.7644103980515347E-5</v>
      </c>
      <c r="M38">
        <f>((E12-'2. Statistika Deskriptif'!B$28)^3)*$D24</f>
        <v>9.8876116747708269E-6</v>
      </c>
      <c r="N38">
        <f>((C12-'2. Statistika Deskriptif'!B$26)^4)*$D24</f>
        <v>0.11671991360106967</v>
      </c>
      <c r="O38">
        <f>((D12-'2. Statistika Deskriptif'!B$27)^4)*$D24</f>
        <v>2.5404210064263547E-5</v>
      </c>
      <c r="P38">
        <f>((E12-'2. Statistika Deskriptif'!B$28)^4)*$D24</f>
        <v>4.2733153705053287E-6</v>
      </c>
    </row>
    <row r="39" spans="1:16" x14ac:dyDescent="0.25">
      <c r="A39" s="1" t="s">
        <v>14</v>
      </c>
    </row>
    <row r="40" spans="1:16" x14ac:dyDescent="0.25">
      <c r="A40" s="1" t="s">
        <v>1</v>
      </c>
      <c r="B40" s="1" t="s">
        <v>2</v>
      </c>
      <c r="C40" s="1" t="s">
        <v>3</v>
      </c>
      <c r="D40" s="1" t="s">
        <v>4</v>
      </c>
      <c r="E40" s="1" t="s">
        <v>5</v>
      </c>
      <c r="F40" s="1" t="s">
        <v>61</v>
      </c>
      <c r="G40" s="1" t="s">
        <v>62</v>
      </c>
    </row>
    <row r="41" spans="1:16" x14ac:dyDescent="0.25">
      <c r="A41" s="2" t="s">
        <v>6</v>
      </c>
      <c r="B41" s="2" t="s">
        <v>7</v>
      </c>
      <c r="C41" s="2">
        <f>C15*$D21</f>
        <v>1.442169309937045</v>
      </c>
      <c r="D41" s="2">
        <f t="shared" ref="D41:G41" si="10">D15*$D21</f>
        <v>3.3935126823620667</v>
      </c>
      <c r="E41" s="2">
        <f t="shared" si="10"/>
        <v>1.7306031719244537</v>
      </c>
      <c r="F41" s="2">
        <f t="shared" si="10"/>
        <v>24.172523556148874</v>
      </c>
      <c r="G41" s="2">
        <f t="shared" si="10"/>
        <v>310061.10387165262</v>
      </c>
      <c r="H41" s="4">
        <f>((C15-'2. Statistika Deskriptif'!B$31)^2)*$D21</f>
        <v>6.1191052950353031</v>
      </c>
      <c r="I41" s="4">
        <f>((D15-'2. Statistika Deskriptif'!B$32)^2)*$D21</f>
        <v>1.2629855611138749</v>
      </c>
      <c r="J41" s="4">
        <f>((E15-'2. Statistika Deskriptif'!B$33)^2)*$D21</f>
        <v>1.22420614375368</v>
      </c>
      <c r="K41">
        <f>((C15-'2. Statistika Deskriptif'!B$31)^3)*$D21</f>
        <v>-27.901130794096737</v>
      </c>
      <c r="L41">
        <f>((D15-'2. Statistika Deskriptif'!B$32)^3)*$D21</f>
        <v>2.6162997139136346</v>
      </c>
      <c r="M41">
        <f>((E15-'2. Statistika Deskriptif'!B$33)^3)*$D21</f>
        <v>-2.4967309643752547</v>
      </c>
      <c r="N41">
        <f>((C15-'2. Statistika Deskriptif'!B$31)^4)*$D21</f>
        <v>127.22008562606405</v>
      </c>
      <c r="O41">
        <f>((D15-'2. Statistika Deskriptif'!B$32)^4)*$D21</f>
        <v>5.4197169023750993</v>
      </c>
      <c r="P41">
        <f>((E15-'2. Statistika Deskriptif'!B$33)^4)*$D21</f>
        <v>5.0920063914696811</v>
      </c>
    </row>
    <row r="42" spans="1:16" x14ac:dyDescent="0.25">
      <c r="A42" s="2" t="s">
        <v>8</v>
      </c>
      <c r="B42" s="2" t="s">
        <v>9</v>
      </c>
      <c r="C42" s="2">
        <f t="shared" ref="C42:G42" si="11">C16*$D22</f>
        <v>5.4534421954823253</v>
      </c>
      <c r="D42" s="2">
        <f t="shared" si="11"/>
        <v>4.1430032205974783</v>
      </c>
      <c r="E42" s="2">
        <f t="shared" si="11"/>
        <v>4.8536643569773377</v>
      </c>
      <c r="F42" s="2">
        <f t="shared" si="11"/>
        <v>34.797194933096101</v>
      </c>
      <c r="G42" s="2">
        <f t="shared" si="11"/>
        <v>924479.41573193588</v>
      </c>
      <c r="H42" s="4">
        <f>((C16-'2. Statistika Deskriptif'!B$31)^2)*$D22</f>
        <v>0.93267187249890993</v>
      </c>
      <c r="I42" s="4">
        <f>((D16-'2. Statistika Deskriptif'!B$32)^2)*$D22</f>
        <v>0.77307481279710433</v>
      </c>
      <c r="J42" s="4">
        <f>((E16-'2. Statistika Deskriptif'!B$33)^2)*$D22</f>
        <v>1.4747049941495245</v>
      </c>
      <c r="K42">
        <f>((C16-'2. Statistika Deskriptif'!B$31)^3)*$D22</f>
        <v>1.2687369628171024</v>
      </c>
      <c r="L42">
        <f>((D16-'2. Statistika Deskriptif'!B$32)^3)*$D22</f>
        <v>-0.957437777181394</v>
      </c>
      <c r="M42">
        <f>((E16-'2. Statistika Deskriptif'!B$33)^3)*$D22</f>
        <v>2.5225280246120163</v>
      </c>
      <c r="N42">
        <f>((C16-'2. Statistika Deskriptif'!B$31)^4)*$D22</f>
        <v>1.7258947420656205</v>
      </c>
      <c r="O42">
        <f>((D16-'2. Statistika Deskriptif'!B$32)^4)*$D22</f>
        <v>1.1857676411126792</v>
      </c>
      <c r="P42">
        <f>((E16-'2. Statistika Deskriptif'!B$33)^4)*$D22</f>
        <v>4.3148613859700697</v>
      </c>
    </row>
    <row r="43" spans="1:16" x14ac:dyDescent="0.25">
      <c r="A43" s="2" t="s">
        <v>8</v>
      </c>
      <c r="B43" s="2" t="s">
        <v>10</v>
      </c>
      <c r="C43" s="2">
        <f t="shared" ref="C43:G43" si="12">C17*$D23</f>
        <v>2.5636175567135555</v>
      </c>
      <c r="D43" s="2">
        <f t="shared" si="12"/>
        <v>1.9206977449276874</v>
      </c>
      <c r="E43" s="2">
        <f t="shared" si="12"/>
        <v>1.3342097661512373</v>
      </c>
      <c r="F43" s="2">
        <f t="shared" si="12"/>
        <v>14.87986511101901</v>
      </c>
      <c r="G43" s="2">
        <f t="shared" si="12"/>
        <v>147625.67515263721</v>
      </c>
      <c r="H43" s="4">
        <f>((C17-'2. Statistika Deskriptif'!B$31)^2)*$D23</f>
        <v>2.1423377575532494</v>
      </c>
      <c r="I43" s="4">
        <f>((D17-'2. Statistika Deskriptif'!B$32)^2)*$D23</f>
        <v>1.0309078177938129E-3</v>
      </c>
      <c r="J43" s="4">
        <f>((E17-'2. Statistika Deskriptif'!B$33)^2)*$D23</f>
        <v>0.34032843558109088</v>
      </c>
      <c r="K43">
        <f>((C17-'2. Statistika Deskriptif'!B$31)^3)*$D23</f>
        <v>6.984717574178271</v>
      </c>
      <c r="L43">
        <f>((D17-'2. Statistika Deskriptif'!B$32)^3)*$D23</f>
        <v>7.3730416408844228E-5</v>
      </c>
      <c r="M43">
        <f>((E17-'2. Statistika Deskriptif'!B$33)^3)*$D23</f>
        <v>-0.44224638656904169</v>
      </c>
      <c r="N43">
        <f>((C17-'2. Statistika Deskriptif'!B$31)^4)*$D23</f>
        <v>22.772450057899967</v>
      </c>
      <c r="O43">
        <f>((D17-'2. Statistika Deskriptif'!B$32)^4)*$D23</f>
        <v>5.2731914628945332E-6</v>
      </c>
      <c r="P43">
        <f>((E17-'2. Statistika Deskriptif'!B$33)^4)*$D23</f>
        <v>0.57468564476379913</v>
      </c>
    </row>
    <row r="44" spans="1:16" x14ac:dyDescent="0.25">
      <c r="A44" s="2" t="s">
        <v>11</v>
      </c>
      <c r="B44" s="2" t="s">
        <v>12</v>
      </c>
      <c r="C44" s="2">
        <f t="shared" ref="C44:G44" si="13">C18*$D24</f>
        <v>4.4583294269083914E-4</v>
      </c>
      <c r="D44" s="2">
        <f t="shared" si="13"/>
        <v>1.2664595130283728E-3</v>
      </c>
      <c r="E44" s="2">
        <f t="shared" si="13"/>
        <v>9.9210077906477937E-4</v>
      </c>
      <c r="F44" s="2">
        <f t="shared" si="13"/>
        <v>9.0575126681284486E-3</v>
      </c>
      <c r="G44" s="2">
        <f t="shared" si="13"/>
        <v>5.451165095439145E-2</v>
      </c>
      <c r="H44" s="4">
        <f>((C18-'2. Statistika Deskriptif'!B$31)^2)*$D24</f>
        <v>4.1482815067571078E-3</v>
      </c>
      <c r="I44" s="4">
        <f>((D18-'2. Statistika Deskriptif'!B$32)^2)*$D24</f>
        <v>9.5177656247696227E-5</v>
      </c>
      <c r="J44" s="4">
        <f>((E18-'2. Statistika Deskriptif'!B$33)^2)*$D24</f>
        <v>3.9918337246341545E-6</v>
      </c>
      <c r="K44">
        <f>((C18-'2. Statistika Deskriptif'!B$31)^3)*$D24</f>
        <v>-2.4141649742580786E-2</v>
      </c>
      <c r="L44">
        <f>((D18-'2. Statistika Deskriptif'!B$32)^3)*$D24</f>
        <v>8.3900997313364047E-5</v>
      </c>
      <c r="M44">
        <f>((E18-'2. Statistika Deskriptif'!B$33)^3)*$D24</f>
        <v>7.2064815404602641E-7</v>
      </c>
      <c r="N44">
        <f>((C18-'2. Statistika Deskriptif'!B$31)^4)*$D24</f>
        <v>0.14049655293260607</v>
      </c>
      <c r="O44">
        <f>((D18-'2. Statistika Deskriptif'!B$32)^4)*$D24</f>
        <v>7.3960398140687658E-5</v>
      </c>
      <c r="P44">
        <f>((E18-'2. Statistika Deskriptif'!B$33)^4)*$D24</f>
        <v>1.3009904664241537E-7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9AFDF-31FA-40C7-B91C-9F3ECBF96D71}">
  <dimension ref="A1:CD232"/>
  <sheetViews>
    <sheetView tabSelected="1" topLeftCell="Y10" zoomScale="102" zoomScaleNormal="187" workbookViewId="0">
      <selection activeCell="N19" sqref="N19"/>
    </sheetView>
  </sheetViews>
  <sheetFormatPr defaultRowHeight="15" x14ac:dyDescent="0.25"/>
  <cols>
    <col min="1" max="1" width="12.85546875" bestFit="1" customWidth="1"/>
    <col min="2" max="3" width="9.28515625" bestFit="1" customWidth="1"/>
    <col min="4" max="4" width="13.42578125" bestFit="1" customWidth="1"/>
    <col min="5" max="17" width="9.28515625" bestFit="1" customWidth="1"/>
    <col min="20" max="23" width="9.28515625" bestFit="1" customWidth="1"/>
    <col min="26" max="28" width="9.28515625" bestFit="1" customWidth="1"/>
    <col min="29" max="29" width="9.42578125" bestFit="1" customWidth="1"/>
    <col min="30" max="30" width="15.28515625" bestFit="1" customWidth="1"/>
    <col min="31" max="33" width="9.42578125" bestFit="1" customWidth="1"/>
    <col min="34" max="34" width="10" bestFit="1" customWidth="1"/>
    <col min="35" max="35" width="9.42578125" bestFit="1" customWidth="1"/>
    <col min="37" max="43" width="9.28515625" bestFit="1" customWidth="1"/>
    <col min="45" max="45" width="9.28515625" bestFit="1" customWidth="1"/>
    <col min="46" max="46" width="12.85546875" bestFit="1" customWidth="1"/>
    <col min="48" max="49" width="15" bestFit="1" customWidth="1"/>
    <col min="52" max="52" width="12.7109375" bestFit="1" customWidth="1"/>
    <col min="79" max="79" width="12" bestFit="1" customWidth="1"/>
    <col min="81" max="81" width="12" bestFit="1" customWidth="1"/>
  </cols>
  <sheetData>
    <row r="1" spans="1:68" x14ac:dyDescent="0.25">
      <c r="A1" s="2">
        <v>4.51</v>
      </c>
      <c r="B1" s="2">
        <v>11.38</v>
      </c>
      <c r="C1" s="2">
        <v>10.97</v>
      </c>
      <c r="E1" s="2">
        <v>4.9400000000000004</v>
      </c>
      <c r="F1" s="2">
        <v>11.39</v>
      </c>
      <c r="G1" s="2">
        <v>7.75</v>
      </c>
      <c r="I1" s="2">
        <v>4.9000000000000004</v>
      </c>
      <c r="J1" s="2">
        <v>11.53</v>
      </c>
      <c r="K1" s="2">
        <v>5.88</v>
      </c>
      <c r="M1">
        <v>0.29432026733409078</v>
      </c>
      <c r="N1">
        <v>0.29432026733409078</v>
      </c>
      <c r="O1">
        <v>0</v>
      </c>
      <c r="P1">
        <v>0</v>
      </c>
      <c r="Q1">
        <v>0</v>
      </c>
      <c r="S1" t="s">
        <v>127</v>
      </c>
      <c r="U1" t="s">
        <v>164</v>
      </c>
      <c r="Y1" t="s">
        <v>126</v>
      </c>
      <c r="AK1" t="s">
        <v>127</v>
      </c>
      <c r="AS1" t="s">
        <v>163</v>
      </c>
      <c r="BE1" s="6" t="s">
        <v>118</v>
      </c>
      <c r="BF1" s="7"/>
      <c r="BG1" s="7"/>
      <c r="BH1" s="7"/>
      <c r="BI1" s="7"/>
      <c r="BJ1" s="7"/>
      <c r="BK1" s="7"/>
      <c r="BL1" s="7"/>
      <c r="BM1" s="7"/>
      <c r="BN1" s="7"/>
      <c r="BO1" s="7"/>
      <c r="BP1" s="8"/>
    </row>
    <row r="2" spans="1:68" x14ac:dyDescent="0.25">
      <c r="A2" s="2">
        <v>10.49</v>
      </c>
      <c r="B2" s="2">
        <v>8.19</v>
      </c>
      <c r="C2" s="2">
        <v>12.25</v>
      </c>
      <c r="E2" s="2">
        <v>11.3</v>
      </c>
      <c r="F2" s="2">
        <v>8.1999999999999993</v>
      </c>
      <c r="G2" s="2">
        <v>11.65</v>
      </c>
      <c r="I2" s="2">
        <v>10.82</v>
      </c>
      <c r="J2" s="2">
        <v>8.2200000000000006</v>
      </c>
      <c r="K2" s="2">
        <v>9.6300000000000008</v>
      </c>
      <c r="M2">
        <v>0.50401499034032582</v>
      </c>
      <c r="N2">
        <v>0</v>
      </c>
      <c r="O2">
        <v>0.50401499034032582</v>
      </c>
      <c r="P2">
        <v>0</v>
      </c>
      <c r="Q2">
        <v>0</v>
      </c>
      <c r="S2" t="s">
        <v>130</v>
      </c>
      <c r="T2" t="s">
        <v>131</v>
      </c>
      <c r="U2" t="s">
        <v>132</v>
      </c>
      <c r="V2" t="s">
        <v>133</v>
      </c>
      <c r="W2" t="s">
        <v>134</v>
      </c>
      <c r="Y2" t="s">
        <v>130</v>
      </c>
      <c r="Z2" t="s">
        <v>131</v>
      </c>
      <c r="AA2" t="s">
        <v>132</v>
      </c>
      <c r="AB2" t="s">
        <v>133</v>
      </c>
      <c r="AC2" t="s">
        <v>134</v>
      </c>
      <c r="AJ2" s="6" t="s">
        <v>112</v>
      </c>
      <c r="AK2" s="7" t="s">
        <v>121</v>
      </c>
      <c r="AL2" s="7" t="s">
        <v>116</v>
      </c>
      <c r="AM2" s="7" t="s">
        <v>117</v>
      </c>
      <c r="AN2" s="6" t="s">
        <v>165</v>
      </c>
      <c r="AO2" s="7" t="s">
        <v>121</v>
      </c>
      <c r="AP2" s="7" t="s">
        <v>122</v>
      </c>
      <c r="AQ2" s="8" t="s">
        <v>123</v>
      </c>
      <c r="AR2" s="6" t="s">
        <v>166</v>
      </c>
      <c r="AS2" s="7" t="s">
        <v>122</v>
      </c>
      <c r="AT2" s="8" t="s">
        <v>123</v>
      </c>
      <c r="BE2" s="9" t="s">
        <v>142</v>
      </c>
      <c r="BP2" s="10"/>
    </row>
    <row r="3" spans="1:68" x14ac:dyDescent="0.25">
      <c r="A3" s="2">
        <v>12.97</v>
      </c>
      <c r="B3" s="2">
        <v>9.33</v>
      </c>
      <c r="C3" s="2">
        <v>7.99</v>
      </c>
      <c r="E3" s="2">
        <v>13.13</v>
      </c>
      <c r="F3" s="2">
        <v>9.52</v>
      </c>
      <c r="G3" s="2">
        <v>7.66</v>
      </c>
      <c r="I3" s="2">
        <v>12.72</v>
      </c>
      <c r="J3" s="2">
        <v>9.5299999999999994</v>
      </c>
      <c r="K3" s="2">
        <v>6.62</v>
      </c>
      <c r="M3">
        <v>0.20154226074792103</v>
      </c>
      <c r="N3">
        <v>0</v>
      </c>
      <c r="O3">
        <v>0</v>
      </c>
      <c r="P3">
        <v>0.20154226074792103</v>
      </c>
      <c r="Q3">
        <v>0</v>
      </c>
      <c r="S3" t="s">
        <v>135</v>
      </c>
      <c r="T3">
        <v>2.3008000000000002</v>
      </c>
      <c r="U3">
        <v>1.5167999999999999</v>
      </c>
      <c r="V3">
        <v>76.69</v>
      </c>
      <c r="W3">
        <v>76.69</v>
      </c>
      <c r="Y3" t="s">
        <v>135</v>
      </c>
      <c r="Z3">
        <v>2.2692000000000001</v>
      </c>
      <c r="AA3">
        <v>1.5064</v>
      </c>
      <c r="AB3">
        <v>75.64</v>
      </c>
      <c r="AC3">
        <v>75.64</v>
      </c>
      <c r="AJ3" s="9"/>
      <c r="AK3" t="s">
        <v>3</v>
      </c>
      <c r="AL3">
        <v>-0.56493890526314894</v>
      </c>
      <c r="AM3">
        <v>0.61515382688380837</v>
      </c>
      <c r="AN3" s="9"/>
      <c r="AO3" t="s">
        <v>7</v>
      </c>
      <c r="AP3">
        <v>-0.80458077944986472</v>
      </c>
      <c r="AQ3" s="10">
        <v>-0.24085077570699526</v>
      </c>
      <c r="AR3" s="9"/>
      <c r="AS3" cm="1">
        <f t="array" ref="AS3:AT6">MMULT(N5:Q8,AP3:AQ6)</f>
        <v>-1.4830628934359602</v>
      </c>
      <c r="AT3" s="10">
        <v>-0.44395399123323159</v>
      </c>
      <c r="AV3" cm="1">
        <f t="array" ref="AV3:AW4">MMULT(MMULT(TRANSPOSE(AS3:AT6),N1:Q4),AS3:AT6)</f>
        <v>1.0000000000000007</v>
      </c>
      <c r="AW3">
        <v>-3.7676025493871279E-18</v>
      </c>
      <c r="AY3" cm="1">
        <f t="array" ref="AY3:AZ4">MMULT(TRANSPOSE(AP3:AQ6),AP3:AQ6)</f>
        <v>1.0000000000000004</v>
      </c>
      <c r="AZ3">
        <v>-3.1496073110703904E-17</v>
      </c>
      <c r="BE3" s="9">
        <v>-0.86747510051361965</v>
      </c>
      <c r="BF3">
        <v>1.470441673732648</v>
      </c>
      <c r="BG3">
        <v>-2.7239665775486309E-3</v>
      </c>
      <c r="BI3">
        <v>-0.89356642597673686</v>
      </c>
      <c r="BJ3">
        <v>1.3907269337392965</v>
      </c>
      <c r="BK3">
        <v>-0.92056543529687862</v>
      </c>
      <c r="BM3">
        <v>-0.81342175593733446</v>
      </c>
      <c r="BN3">
        <v>1.3483620090341482</v>
      </c>
      <c r="BO3">
        <v>-1.1657688798586363</v>
      </c>
      <c r="BP3" s="10"/>
    </row>
    <row r="4" spans="1:68" x14ac:dyDescent="0.25">
      <c r="A4" s="2">
        <v>3.69</v>
      </c>
      <c r="B4" s="2">
        <v>9.8699999999999992</v>
      </c>
      <c r="C4" s="2">
        <v>12.69</v>
      </c>
      <c r="E4" s="2">
        <v>4.24</v>
      </c>
      <c r="F4" s="2">
        <v>10.08</v>
      </c>
      <c r="G4" s="2">
        <v>10.130000000000001</v>
      </c>
      <c r="I4" s="2">
        <v>3.64</v>
      </c>
      <c r="J4" s="2">
        <v>10.34</v>
      </c>
      <c r="K4" s="2">
        <v>8.1</v>
      </c>
      <c r="M4">
        <v>1.2248157766231845E-4</v>
      </c>
      <c r="N4">
        <v>0</v>
      </c>
      <c r="O4">
        <v>0</v>
      </c>
      <c r="P4">
        <v>0</v>
      </c>
      <c r="Q4">
        <v>1.2248157766231845E-4</v>
      </c>
      <c r="S4" t="s">
        <v>136</v>
      </c>
      <c r="T4">
        <v>0.69920000000000004</v>
      </c>
      <c r="U4">
        <v>0.83620000000000005</v>
      </c>
      <c r="V4">
        <v>23.31</v>
      </c>
      <c r="W4">
        <v>100</v>
      </c>
      <c r="Y4" t="s">
        <v>136</v>
      </c>
      <c r="Z4">
        <v>0.70579999999999998</v>
      </c>
      <c r="AA4">
        <v>0.84009999999999996</v>
      </c>
      <c r="AB4">
        <v>23.53</v>
      </c>
      <c r="AC4">
        <v>99.17</v>
      </c>
      <c r="AJ4" s="9"/>
      <c r="AK4" t="s">
        <v>4</v>
      </c>
      <c r="AL4">
        <v>0.65792355248264001</v>
      </c>
      <c r="AM4">
        <v>7.1896747227522664E-2</v>
      </c>
      <c r="AN4" s="9"/>
      <c r="AO4" t="s">
        <v>9</v>
      </c>
      <c r="AP4">
        <v>0.59273374911162502</v>
      </c>
      <c r="AQ4" s="10">
        <v>-0.38019927591285807</v>
      </c>
      <c r="AR4" s="9"/>
      <c r="AS4">
        <v>0.83490666719167528</v>
      </c>
      <c r="AT4" s="10">
        <v>-0.53553709536001659</v>
      </c>
      <c r="AV4">
        <v>-3.7676025493871279E-18</v>
      </c>
      <c r="AW4">
        <v>1.0000000000000002</v>
      </c>
      <c r="AY4">
        <v>-3.1496073110703904E-17</v>
      </c>
      <c r="AZ4">
        <v>1</v>
      </c>
      <c r="BE4" s="9">
        <v>0.65602008335464623</v>
      </c>
      <c r="BF4">
        <v>-1.3092376976493632</v>
      </c>
      <c r="BG4">
        <v>0.69461147727503925</v>
      </c>
      <c r="BI4">
        <v>0.74775703083540601</v>
      </c>
      <c r="BJ4">
        <v>-1.3950934233271741</v>
      </c>
      <c r="BK4">
        <v>1.3994379234480829</v>
      </c>
      <c r="BM4">
        <v>0.72999388353350569</v>
      </c>
      <c r="BN4">
        <v>-1.3981476832138724</v>
      </c>
      <c r="BO4">
        <v>1.4402718351755721</v>
      </c>
      <c r="BP4" s="10"/>
    </row>
    <row r="5" spans="1:68" x14ac:dyDescent="0.25">
      <c r="M5" s="6" t="s">
        <v>141</v>
      </c>
      <c r="N5" s="7">
        <f>1/SQRT(N1)</f>
        <v>1.8432740767807185</v>
      </c>
      <c r="O5" s="7">
        <v>0</v>
      </c>
      <c r="P5" s="7">
        <v>0</v>
      </c>
      <c r="Q5" s="8">
        <v>0</v>
      </c>
      <c r="S5" t="s">
        <v>137</v>
      </c>
      <c r="T5">
        <v>0</v>
      </c>
      <c r="U5">
        <v>4.4000000000000003E-3</v>
      </c>
      <c r="V5">
        <v>0</v>
      </c>
      <c r="W5">
        <v>100</v>
      </c>
      <c r="Y5" t="s">
        <v>137</v>
      </c>
      <c r="Z5">
        <v>2.5000000000000001E-2</v>
      </c>
      <c r="AA5">
        <v>0.15820000000000001</v>
      </c>
      <c r="AB5">
        <v>0.83</v>
      </c>
      <c r="AC5">
        <v>100</v>
      </c>
      <c r="AJ5" s="11"/>
      <c r="AK5" s="12" t="s">
        <v>5</v>
      </c>
      <c r="AL5" s="12">
        <v>-0.46744904459427966</v>
      </c>
      <c r="AM5" s="12">
        <v>-0.73769148968266962</v>
      </c>
      <c r="AN5" s="9"/>
      <c r="AO5" t="s">
        <v>10</v>
      </c>
      <c r="AP5">
        <v>3.5169323102582056E-2</v>
      </c>
      <c r="AQ5" s="10">
        <v>0.89278024371047693</v>
      </c>
      <c r="AR5" s="9"/>
      <c r="AS5">
        <v>7.8339527300446868E-2</v>
      </c>
      <c r="AT5" s="10">
        <v>1.9886644412079024</v>
      </c>
      <c r="BE5" s="9">
        <v>1.2878374840224223</v>
      </c>
      <c r="BF5">
        <v>-0.31587265583886387</v>
      </c>
      <c r="BG5">
        <v>-1.6262080467968558</v>
      </c>
      <c r="BI5">
        <v>1.2200246292577679</v>
      </c>
      <c r="BJ5">
        <v>-0.24234017212725545</v>
      </c>
      <c r="BK5">
        <v>-0.97410397434483909</v>
      </c>
      <c r="BM5">
        <v>1.2253468759312416</v>
      </c>
      <c r="BN5">
        <v>-0.31116046362326677</v>
      </c>
      <c r="BO5">
        <v>-0.65151017875855255</v>
      </c>
      <c r="BP5" s="10"/>
    </row>
    <row r="6" spans="1:68" x14ac:dyDescent="0.25">
      <c r="A6" cm="1">
        <f t="array" ref="A6:D9">MMULT(A1:C4,TRANSPOSE(A1:C4))</f>
        <v>270.18540000000002</v>
      </c>
      <c r="B6">
        <v>274.89460000000003</v>
      </c>
      <c r="C6">
        <v>252.32040000000001</v>
      </c>
      <c r="D6">
        <v>268.17180000000002</v>
      </c>
      <c r="M6" s="9"/>
      <c r="N6">
        <v>0</v>
      </c>
      <c r="O6">
        <f>1/SQRT(O2)</f>
        <v>1.4085694773463011</v>
      </c>
      <c r="P6">
        <v>0</v>
      </c>
      <c r="Q6" s="10">
        <v>0</v>
      </c>
      <c r="S6" t="s">
        <v>138</v>
      </c>
      <c r="T6">
        <v>0</v>
      </c>
      <c r="U6">
        <v>0</v>
      </c>
      <c r="V6">
        <v>0</v>
      </c>
      <c r="W6">
        <v>100</v>
      </c>
      <c r="Z6" t="s">
        <v>145</v>
      </c>
      <c r="AA6">
        <f>1/AA3</f>
        <v>0.66383430695698353</v>
      </c>
      <c r="AB6">
        <v>0</v>
      </c>
      <c r="AN6" s="11"/>
      <c r="AO6" s="12" t="s">
        <v>12</v>
      </c>
      <c r="AP6" s="12">
        <v>-8.9213629245830997E-3</v>
      </c>
      <c r="AQ6" s="13">
        <v>-1.9566575503614427E-2</v>
      </c>
      <c r="AR6" s="11"/>
      <c r="AS6" s="12">
        <v>-0.8061128071973811</v>
      </c>
      <c r="AT6" s="13">
        <v>-1.7679885057691689</v>
      </c>
      <c r="BE6" s="9">
        <v>-1.0763824668634485</v>
      </c>
      <c r="BF6">
        <v>0.15466867975558224</v>
      </c>
      <c r="BG6">
        <v>0.93432053609936616</v>
      </c>
      <c r="BI6">
        <v>-1.0742152341164382</v>
      </c>
      <c r="BJ6">
        <v>0.24670666171513458</v>
      </c>
      <c r="BK6">
        <v>0.49523148619363677</v>
      </c>
      <c r="BM6">
        <v>-1.1419190035274118</v>
      </c>
      <c r="BN6">
        <v>0.36094613780298668</v>
      </c>
      <c r="BO6">
        <v>0.37700722344161447</v>
      </c>
      <c r="BP6" s="10"/>
    </row>
    <row r="7" spans="1:68" x14ac:dyDescent="0.25">
      <c r="A7">
        <v>274.89460000000003</v>
      </c>
      <c r="B7">
        <v>327.17869999999999</v>
      </c>
      <c r="C7">
        <v>310.34550000000002</v>
      </c>
      <c r="D7">
        <v>274.99590000000001</v>
      </c>
      <c r="M7" s="9"/>
      <c r="N7">
        <v>0</v>
      </c>
      <c r="O7">
        <v>0</v>
      </c>
      <c r="P7">
        <f>1/SQRT(P3)</f>
        <v>2.2274960218013224</v>
      </c>
      <c r="Q7" s="10">
        <v>0</v>
      </c>
      <c r="T7" t="s">
        <v>145</v>
      </c>
      <c r="U7">
        <f>1/U3</f>
        <v>0.65928270042194093</v>
      </c>
      <c r="V7">
        <v>0</v>
      </c>
      <c r="AA7">
        <v>0</v>
      </c>
      <c r="AB7">
        <f>1/AA4</f>
        <v>1.1903344839900012</v>
      </c>
      <c r="BE7" s="9" t="s">
        <v>80</v>
      </c>
      <c r="BP7" s="10"/>
    </row>
    <row r="8" spans="1:68" x14ac:dyDescent="0.25">
      <c r="A8">
        <v>252.32040000000001</v>
      </c>
      <c r="B8">
        <v>310.34550000000002</v>
      </c>
      <c r="C8">
        <v>319.10990000000004</v>
      </c>
      <c r="D8">
        <v>241.33949999999999</v>
      </c>
      <c r="M8" s="11"/>
      <c r="N8" s="12">
        <v>0</v>
      </c>
      <c r="O8" s="12">
        <v>0</v>
      </c>
      <c r="P8" s="12">
        <v>0</v>
      </c>
      <c r="Q8" s="13">
        <f>1/SQRT(Q4)</f>
        <v>90.35758482329102</v>
      </c>
      <c r="U8">
        <v>0</v>
      </c>
      <c r="V8">
        <f>1/U4</f>
        <v>1.1958861516383639</v>
      </c>
      <c r="AK8" t="s">
        <v>126</v>
      </c>
      <c r="BE8" s="9" t="s">
        <v>89</v>
      </c>
      <c r="BI8" t="s">
        <v>90</v>
      </c>
      <c r="BM8" t="s">
        <v>91</v>
      </c>
      <c r="BP8" s="10"/>
    </row>
    <row r="9" spans="1:68" x14ac:dyDescent="0.25">
      <c r="A9">
        <v>268.17180000000002</v>
      </c>
      <c r="B9">
        <v>274.99590000000001</v>
      </c>
      <c r="C9">
        <v>241.33949999999999</v>
      </c>
      <c r="D9">
        <v>272.06909999999993</v>
      </c>
      <c r="F9">
        <v>2.18747858637346</v>
      </c>
      <c r="G9">
        <v>2.1601500796804798</v>
      </c>
      <c r="H9">
        <v>7.6625078348824705E-4</v>
      </c>
      <c r="I9">
        <v>4.3483949168374298</v>
      </c>
      <c r="M9" s="6" t="s">
        <v>162</v>
      </c>
      <c r="N9">
        <f>SQRT(N1)</f>
        <v>0.54251291904810039</v>
      </c>
      <c r="O9">
        <f t="shared" ref="O9:Q9" si="0">SQRT(O1)</f>
        <v>0</v>
      </c>
      <c r="P9">
        <f t="shared" si="0"/>
        <v>0</v>
      </c>
      <c r="Q9">
        <f t="shared" si="0"/>
        <v>0</v>
      </c>
      <c r="AJ9" s="6" t="s">
        <v>112</v>
      </c>
      <c r="AK9" s="7" t="s">
        <v>121</v>
      </c>
      <c r="AL9" s="7" t="s">
        <v>116</v>
      </c>
      <c r="AM9" s="7" t="s">
        <v>117</v>
      </c>
      <c r="AN9" s="6" t="s">
        <v>165</v>
      </c>
      <c r="AO9" s="7" t="s">
        <v>121</v>
      </c>
      <c r="AP9" s="7" t="s">
        <v>122</v>
      </c>
      <c r="AQ9" s="8" t="s">
        <v>123</v>
      </c>
      <c r="AR9" s="6" t="s">
        <v>166</v>
      </c>
      <c r="AS9" s="7" t="s">
        <v>122</v>
      </c>
      <c r="AT9" s="8" t="s">
        <v>123</v>
      </c>
      <c r="BE9" s="9" cm="1">
        <f t="array" ref="BE9:BH12">MMULT(BE3:BG6,TRANSPOSE(BE3:BG6))</f>
        <v>2.9147191858547012</v>
      </c>
      <c r="BF9">
        <v>-2.496130857640912</v>
      </c>
      <c r="BG9">
        <v>-1.5772095312680179</v>
      </c>
      <c r="BH9">
        <v>1.1586212030542331</v>
      </c>
      <c r="BI9" cm="1">
        <f t="array" ref="BI9:BL12">MMULT(BI3:BK6,TRANSPOSE(BI3:BK6))</f>
        <v>3.5800230825240762</v>
      </c>
      <c r="BJ9">
        <v>-3.8966387576161736</v>
      </c>
      <c r="BK9">
        <v>-0.53047560290667217</v>
      </c>
      <c r="BL9">
        <v>0.84709127799877093</v>
      </c>
      <c r="BM9" cm="1">
        <f t="array" ref="BM9:BP12">MMULT(BM3:BO6,TRANSPOSE(BM3:BO6))</f>
        <v>3.8387521416856405</v>
      </c>
      <c r="BN9">
        <v>-4.1580262096166045</v>
      </c>
      <c r="BO9">
        <v>-0.65677046400752492</v>
      </c>
      <c r="BP9" s="10">
        <v>0.97604453193848451</v>
      </c>
    </row>
    <row r="10" spans="1:68" x14ac:dyDescent="0.25">
      <c r="A10" t="s">
        <v>151</v>
      </c>
      <c r="F10">
        <f>A12^2</f>
        <v>2.1874785863734552</v>
      </c>
      <c r="G10">
        <f t="shared" ref="G10:H10" si="1">B12^2</f>
        <v>2.1601500796804847</v>
      </c>
      <c r="H10">
        <f t="shared" si="1"/>
        <v>7.6625078348824705E-4</v>
      </c>
      <c r="I10">
        <f>SUM(F10:H10)</f>
        <v>4.3483949168374281</v>
      </c>
      <c r="N10">
        <f t="shared" ref="N10:Q10" si="2">SQRT(N2)</f>
        <v>0</v>
      </c>
      <c r="O10">
        <f t="shared" si="2"/>
        <v>0.70994013151837376</v>
      </c>
      <c r="P10">
        <f t="shared" si="2"/>
        <v>0</v>
      </c>
      <c r="Q10">
        <f t="shared" si="2"/>
        <v>0</v>
      </c>
      <c r="AJ10" s="9"/>
      <c r="AK10" t="s">
        <v>3</v>
      </c>
      <c r="AL10">
        <v>-0.54836231261667567</v>
      </c>
      <c r="AM10">
        <v>-0.66400609366274088</v>
      </c>
      <c r="AN10" s="9"/>
      <c r="AO10" t="s">
        <v>7</v>
      </c>
      <c r="AP10">
        <v>0.78683961169459982</v>
      </c>
      <c r="AQ10" s="10">
        <v>0.2927388759123461</v>
      </c>
      <c r="AR10" s="9"/>
      <c r="AS10" cm="1">
        <f t="array" ref="AS10:AT13">MMULT(N5:Q8,AP10:AQ13)</f>
        <v>1.4503610588208626</v>
      </c>
      <c r="AT10" s="10">
        <v>0.53959798123515512</v>
      </c>
      <c r="BE10" s="9">
        <v>-2.496130857640912</v>
      </c>
      <c r="BF10">
        <v>2.6269508030730546</v>
      </c>
      <c r="BG10">
        <v>0.12881686855437091</v>
      </c>
      <c r="BH10">
        <v>-0.25963681398651706</v>
      </c>
      <c r="BI10">
        <v>-3.8966387576161736</v>
      </c>
      <c r="BJ10">
        <v>4.4638527385591988</v>
      </c>
      <c r="BK10">
        <v>-0.11282886841710127</v>
      </c>
      <c r="BL10">
        <v>-0.45438511252592362</v>
      </c>
      <c r="BM10">
        <v>-4.1580262096166045</v>
      </c>
      <c r="BN10">
        <v>4.5620909732726584</v>
      </c>
      <c r="BO10">
        <v>0.39119224516317508</v>
      </c>
      <c r="BP10" s="10">
        <v>-0.79525700881922623</v>
      </c>
    </row>
    <row r="11" spans="1:68" x14ac:dyDescent="0.25">
      <c r="A11" t="s">
        <v>149</v>
      </c>
      <c r="E11" t="s">
        <v>150</v>
      </c>
      <c r="I11" t="s">
        <v>46</v>
      </c>
      <c r="N11">
        <f t="shared" ref="N11:Q11" si="3">SQRT(N3)</f>
        <v>0</v>
      </c>
      <c r="O11">
        <f t="shared" si="3"/>
        <v>0</v>
      </c>
      <c r="P11">
        <f t="shared" si="3"/>
        <v>0.44893458404083886</v>
      </c>
      <c r="Q11">
        <f t="shared" si="3"/>
        <v>0</v>
      </c>
      <c r="AA11" t="s">
        <v>143</v>
      </c>
      <c r="AE11" t="s">
        <v>144</v>
      </c>
      <c r="AJ11" s="9"/>
      <c r="AK11" t="s">
        <v>4</v>
      </c>
      <c r="AL11">
        <v>0.65890515900708024</v>
      </c>
      <c r="AM11">
        <v>3.1215730045989265E-2</v>
      </c>
      <c r="AN11" s="9"/>
      <c r="AO11" t="s">
        <v>9</v>
      </c>
      <c r="AP11">
        <v>-0.60695123135633677</v>
      </c>
      <c r="AQ11" s="10">
        <v>0.31345803658474986</v>
      </c>
      <c r="AR11" s="9"/>
      <c r="AS11">
        <v>-0.85493297872628915</v>
      </c>
      <c r="AT11" s="10">
        <v>0.44152742276217882</v>
      </c>
      <c r="BE11" s="9">
        <v>-1.5772095312680179</v>
      </c>
      <c r="BF11">
        <v>0.12881686855437091</v>
      </c>
      <c r="BG11">
        <v>4.4028535314267447</v>
      </c>
      <c r="BH11">
        <v>-2.9544608687130998</v>
      </c>
      <c r="BI11">
        <v>-0.53047560290667217</v>
      </c>
      <c r="BJ11">
        <v>-0.11282886841710127</v>
      </c>
      <c r="BK11">
        <v>2.4960674078566329</v>
      </c>
      <c r="BL11">
        <v>-1.8527629365328628</v>
      </c>
      <c r="BM11">
        <v>-0.65677046400752492</v>
      </c>
      <c r="BN11">
        <v>0.39119224516317508</v>
      </c>
      <c r="BO11">
        <v>2.0227613135027012</v>
      </c>
      <c r="BP11" s="10">
        <v>-1.7571830946583471</v>
      </c>
    </row>
    <row r="12" spans="1:68" x14ac:dyDescent="0.25">
      <c r="A12">
        <v>-1.4790127066301544</v>
      </c>
      <c r="B12">
        <v>1.4697449029272001</v>
      </c>
      <c r="C12">
        <v>-2.7681235223310521E-2</v>
      </c>
      <c r="E12">
        <v>-1.5113087549245832</v>
      </c>
      <c r="F12">
        <v>1.4421464342045536</v>
      </c>
      <c r="G12">
        <v>-0.98956236245082141</v>
      </c>
      <c r="I12">
        <v>-1.5034222115657745</v>
      </c>
      <c r="J12">
        <v>1.45135521477833</v>
      </c>
      <c r="K12">
        <v>-1.1698614761101329</v>
      </c>
      <c r="N12">
        <f t="shared" ref="N12:Q12" si="4">SQRT(N4)</f>
        <v>0</v>
      </c>
      <c r="O12">
        <f t="shared" si="4"/>
        <v>0</v>
      </c>
      <c r="P12">
        <f t="shared" si="4"/>
        <v>0</v>
      </c>
      <c r="Q12">
        <f t="shared" si="4"/>
        <v>1.1067139542913447E-2</v>
      </c>
      <c r="AA12">
        <f t="shared" ref="AA12:AC15" si="5">$M1*A12+$M1*E12+$M1*I12</f>
        <v>-1.3225998392037082</v>
      </c>
      <c r="AB12">
        <f t="shared" si="5"/>
        <v>1.2841918916027257</v>
      </c>
      <c r="AC12">
        <f t="shared" si="5"/>
        <v>-0.64370935000393115</v>
      </c>
      <c r="AE12" cm="1">
        <f t="array" ref="AE12:AH14">TRANSPOSE(AA12:AC15)</f>
        <v>-1.3225998392037082</v>
      </c>
      <c r="AF12">
        <v>0.66117354123641858</v>
      </c>
      <c r="AG12">
        <v>0.66208574495665029</v>
      </c>
      <c r="AH12">
        <v>-6.5944698935950009E-4</v>
      </c>
      <c r="AJ12" s="11"/>
      <c r="AK12" s="12" t="s">
        <v>5</v>
      </c>
      <c r="AL12" s="12">
        <v>-0.51492015452451023</v>
      </c>
      <c r="AM12" s="12">
        <v>0.74707528789034605</v>
      </c>
      <c r="AN12" s="9"/>
      <c r="AO12" t="s">
        <v>10</v>
      </c>
      <c r="AP12">
        <v>8.7721081210509078E-3</v>
      </c>
      <c r="AQ12" s="10">
        <v>-0.84994964490900216</v>
      </c>
      <c r="AR12" s="9"/>
      <c r="AS12">
        <v>1.9539835942451969E-2</v>
      </c>
      <c r="AT12" s="10">
        <v>-1.893259452766249</v>
      </c>
      <c r="BE12" s="9">
        <v>1.1586212030542331</v>
      </c>
      <c r="BF12">
        <v>-0.25963681398651706</v>
      </c>
      <c r="BG12">
        <v>-2.9544608687130998</v>
      </c>
      <c r="BH12">
        <v>2.0554764796453848</v>
      </c>
      <c r="BI12">
        <v>0.84709127799877093</v>
      </c>
      <c r="BJ12">
        <v>-0.45438511252592362</v>
      </c>
      <c r="BK12">
        <v>-1.8527629365328628</v>
      </c>
      <c r="BL12">
        <v>1.4600567710600181</v>
      </c>
      <c r="BM12">
        <v>0.97604453193848451</v>
      </c>
      <c r="BN12">
        <v>-0.79525700881922623</v>
      </c>
      <c r="BO12">
        <v>-1.7571830946583471</v>
      </c>
      <c r="BP12" s="10">
        <v>1.5763955715390854</v>
      </c>
    </row>
    <row r="13" spans="1:68" x14ac:dyDescent="0.25">
      <c r="A13">
        <v>0.39523545574314989</v>
      </c>
      <c r="B13">
        <v>-0.84996221012036</v>
      </c>
      <c r="C13">
        <v>0.76402554578205428</v>
      </c>
      <c r="E13">
        <v>0.46804954686389366</v>
      </c>
      <c r="F13">
        <v>-0.87563163449960701</v>
      </c>
      <c r="G13">
        <v>0.99178638576260758</v>
      </c>
      <c r="I13">
        <v>0.44852824483223336</v>
      </c>
      <c r="J13">
        <v>-0.86770808655801979</v>
      </c>
      <c r="K13">
        <v>0.98117866422162847</v>
      </c>
      <c r="AA13">
        <f t="shared" si="5"/>
        <v>0.66117354123641858</v>
      </c>
      <c r="AB13">
        <f t="shared" si="5"/>
        <v>-1.3070630477922212</v>
      </c>
      <c r="AC13">
        <f t="shared" si="5"/>
        <v>1.3794842886867094</v>
      </c>
      <c r="AE13">
        <v>1.2841918916027257</v>
      </c>
      <c r="AF13">
        <v>-1.3070630477922212</v>
      </c>
      <c r="AG13">
        <v>2.2689926719492801E-2</v>
      </c>
      <c r="AH13">
        <v>1.8122947000204971E-4</v>
      </c>
      <c r="AN13" s="11"/>
      <c r="AO13" s="12" t="s">
        <v>12</v>
      </c>
      <c r="AP13" s="12">
        <v>8.1574593335531926E-3</v>
      </c>
      <c r="AQ13" s="13">
        <v>1.9944492747264331E-2</v>
      </c>
      <c r="AR13" s="11"/>
      <c r="AS13" s="12">
        <v>0.73708832367407962</v>
      </c>
      <c r="AT13" s="13">
        <v>1.8021361951684494</v>
      </c>
      <c r="BE13" s="9"/>
      <c r="BP13" s="10"/>
    </row>
    <row r="14" spans="1:68" x14ac:dyDescent="0.25">
      <c r="A14">
        <v>1.172515630105323</v>
      </c>
      <c r="B14">
        <v>-2.0975969093958317E-2</v>
      </c>
      <c r="C14">
        <v>-1.8708735847514268</v>
      </c>
      <c r="E14">
        <v>1.0375818884162384</v>
      </c>
      <c r="F14">
        <v>8.3448945653838535E-2</v>
      </c>
      <c r="G14">
        <v>-1.0352857951019003</v>
      </c>
      <c r="I14">
        <v>1.0749988305005129</v>
      </c>
      <c r="J14">
        <v>5.0108507022226793E-2</v>
      </c>
      <c r="K14">
        <v>-0.74538955508466542</v>
      </c>
      <c r="AA14">
        <f t="shared" si="5"/>
        <v>0.66208574495665029</v>
      </c>
      <c r="AB14">
        <f t="shared" si="5"/>
        <v>2.2689926719492801E-2</v>
      </c>
      <c r="AC14">
        <f t="shared" si="5"/>
        <v>-0.73594142757906622</v>
      </c>
      <c r="AE14">
        <v>-0.64370935000393115</v>
      </c>
      <c r="AF14">
        <v>1.3794842886867094</v>
      </c>
      <c r="AG14">
        <v>-0.73594142757906622</v>
      </c>
      <c r="AH14">
        <v>1.6648889628866119E-4</v>
      </c>
      <c r="BE14" s="9" t="s">
        <v>81</v>
      </c>
      <c r="BP14" s="10"/>
    </row>
    <row r="15" spans="1:68" x14ac:dyDescent="0.25">
      <c r="A15">
        <v>-1.7360166352499051</v>
      </c>
      <c r="B15">
        <v>0.37170172402380985</v>
      </c>
      <c r="C15">
        <v>1.0361747517526483</v>
      </c>
      <c r="E15">
        <v>-1.7291626560648243</v>
      </c>
      <c r="F15">
        <v>0.49033161602196723</v>
      </c>
      <c r="G15">
        <v>0.21956841209993813</v>
      </c>
      <c r="I15">
        <v>-1.9188711262721072</v>
      </c>
      <c r="J15">
        <v>0.61761342366344885</v>
      </c>
      <c r="K15">
        <v>0.10355428696626937</v>
      </c>
      <c r="N15" t="s">
        <v>147</v>
      </c>
      <c r="AA15">
        <f t="shared" si="5"/>
        <v>-6.5944698935950009E-4</v>
      </c>
      <c r="AB15">
        <f t="shared" si="5"/>
        <v>1.8122947000204971E-4</v>
      </c>
      <c r="AC15">
        <f t="shared" si="5"/>
        <v>1.6648889628866119E-4</v>
      </c>
      <c r="BE15" s="9" t="s">
        <v>87</v>
      </c>
      <c r="BI15" t="s">
        <v>97</v>
      </c>
      <c r="BM15" t="s">
        <v>88</v>
      </c>
      <c r="BP15" s="10"/>
    </row>
    <row r="16" spans="1:68" x14ac:dyDescent="0.25">
      <c r="A16" t="s">
        <v>148</v>
      </c>
      <c r="C16">
        <f>A12*A13</f>
        <v>-0.58455826115487874</v>
      </c>
      <c r="D16">
        <f t="shared" ref="D16:E16" si="6">B12*B13</f>
        <v>-1.2492276260051369</v>
      </c>
      <c r="E16">
        <f t="shared" si="6"/>
        <v>-2.1149170849411248E-2</v>
      </c>
      <c r="F16">
        <v>-0.58455826115487897</v>
      </c>
      <c r="G16">
        <v>-1.2492276260051369</v>
      </c>
      <c r="H16">
        <v>-2.1149170849411248E-2</v>
      </c>
      <c r="I16">
        <f>SUM(F16:H16)</f>
        <v>-1.854935058009427</v>
      </c>
      <c r="J16">
        <v>-1.854935058009427</v>
      </c>
      <c r="N16" t="s">
        <v>152</v>
      </c>
      <c r="O16" t="s">
        <v>187</v>
      </c>
      <c r="AK16" t="s">
        <v>154</v>
      </c>
      <c r="BE16" s="9" cm="1">
        <f t="array" ref="BE16:BH19">MMULT(_xlfn.ANCHORARRAY(BE9),$N1:$Q4)</f>
        <v>0.8578609299845591</v>
      </c>
      <c r="BF16">
        <v>-1.2580873701020734</v>
      </c>
      <c r="BG16">
        <v>-0.31787437460492518</v>
      </c>
      <c r="BH16">
        <v>1.4190975286309588E-4</v>
      </c>
      <c r="BI16" cm="1">
        <f t="array" ref="BI16:BL19">MMULT(_xlfn.ANCHORARRAY(BI9),$N1:$Q4)</f>
        <v>1.0536733507107019</v>
      </c>
      <c r="BJ16">
        <v>-1.963964345779655</v>
      </c>
      <c r="BK16">
        <v>-0.10691325228142713</v>
      </c>
      <c r="BL16">
        <v>1.0375307615327904E-4</v>
      </c>
      <c r="BM16" cm="1">
        <f t="array" ref="BM16:BP19">MMULT(_xlfn.ANCHORARRAY(BM9),$N1:$Q4)</f>
        <v>1.1298225565702313</v>
      </c>
      <c r="BN16">
        <v>-2.0957075398747347</v>
      </c>
      <c r="BO16">
        <v>-0.13236700410853766</v>
      </c>
      <c r="BP16" s="10">
        <v>1.1954747414050474E-4</v>
      </c>
    </row>
    <row r="17" spans="1:68" x14ac:dyDescent="0.25">
      <c r="A17" t="s">
        <v>89</v>
      </c>
      <c r="E17" t="s">
        <v>90</v>
      </c>
      <c r="I17" t="s">
        <v>91</v>
      </c>
      <c r="N17" t="s">
        <v>146</v>
      </c>
      <c r="Q17" t="s">
        <v>160</v>
      </c>
      <c r="T17" t="s">
        <v>161</v>
      </c>
      <c r="AA17" t="s">
        <v>119</v>
      </c>
      <c r="AF17" t="s">
        <v>120</v>
      </c>
      <c r="AK17" t="s">
        <v>139</v>
      </c>
      <c r="AN17" t="s">
        <v>140</v>
      </c>
      <c r="BE17" s="9">
        <v>-0.73466190132174647</v>
      </c>
      <c r="BF17">
        <v>1.3240225836353767</v>
      </c>
      <c r="BG17">
        <v>2.5962042910915691E-2</v>
      </c>
      <c r="BH17">
        <v>-3.1800726596286515E-5</v>
      </c>
      <c r="BI17">
        <v>-1.1468597608459716</v>
      </c>
      <c r="BJ17">
        <v>2.2498486949055514</v>
      </c>
      <c r="BK17">
        <v>-2.2739785218412297E-2</v>
      </c>
      <c r="BL17">
        <v>-5.5653805448445222E-5</v>
      </c>
      <c r="BM17">
        <v>-1.2237913855965152</v>
      </c>
      <c r="BN17">
        <v>2.2993622378257066</v>
      </c>
      <c r="BO17">
        <v>7.884176947724128E-2</v>
      </c>
      <c r="BP17" s="10">
        <v>-9.7404333087195119E-5</v>
      </c>
    </row>
    <row r="18" spans="1:68" x14ac:dyDescent="0.25">
      <c r="A18" s="15" cm="1">
        <f t="array" ref="A18:D21">MMULT(A12:C15,TRANSPOSE(A12:C15))</f>
        <v>4.3483949168374281</v>
      </c>
      <c r="B18" s="15">
        <v>-1.8549350580094268</v>
      </c>
      <c r="C18" s="15">
        <v>-1.713206747535456</v>
      </c>
      <c r="D18" s="15">
        <v>3.0852147797134624</v>
      </c>
      <c r="E18" s="15" cm="1">
        <f t="array" ref="E18:H21">MMULT(E12:G15,TRANSPOSE(E12:G15))</f>
        <v>5.343074159579853</v>
      </c>
      <c r="F18" s="15">
        <v>-2.9515908962260076</v>
      </c>
      <c r="G18" s="15">
        <v>-0.42328113528901667</v>
      </c>
      <c r="H18" s="15">
        <v>3.1031520158260615</v>
      </c>
      <c r="I18" s="15" cm="1">
        <f t="array" ref="I18:L21">MMULT(I12:K15,TRANSPOSE(I12:K15))</f>
        <v>5.7352861789801555</v>
      </c>
      <c r="J18" s="15">
        <v>-3.0815231025807828</v>
      </c>
      <c r="K18" s="15">
        <v>-0.67144935102181502</v>
      </c>
      <c r="L18" s="15">
        <v>3.6601057645128727</v>
      </c>
      <c r="N18" s="14" cm="1">
        <f t="array" ref="N18:O21">MMULT(MMULT(_xlfn.ANCHORARRAY(A18),N9:Q12),MMULT(AP3:AQ6,U7:V8))</f>
        <v>-1.7840028133002281</v>
      </c>
      <c r="O18" s="14">
        <v>-0.90268005148704722</v>
      </c>
      <c r="Q18" s="14" cm="1">
        <f t="array" ref="Q18:R21">MMULT(_xlfn.ANCHORARRAY(E18),MMULT(N9:Q12,MMULT(AP3:AQ6,U7:V8)))</f>
        <v>-2.361064556654942</v>
      </c>
      <c r="R18" s="14">
        <v>-8.5845885693585491E-2</v>
      </c>
      <c r="T18" s="14" cm="1">
        <f t="array" ref="T18:U21">MMULT(_xlfn.ANCHORARRAY(I18),MMULT(N9:Q12,MMULT(AP3:AQ6,U7:V8)))</f>
        <v>-2.5125995003970916</v>
      </c>
      <c r="U18" s="14">
        <v>-0.22428587941860292</v>
      </c>
      <c r="AA18" s="14">
        <f>$AC$152*A18+$AC$153*E18+$AC$154*I18</f>
        <v>5.1983647840595868</v>
      </c>
      <c r="AB18" s="14">
        <f t="shared" ref="AB18:AB21" si="7">$AC$152*B18+$AC$153*F18+$AC$154*J18</f>
        <v>-2.6826662967097863</v>
      </c>
      <c r="AC18" s="14">
        <f t="shared" ref="AC18:AC21" si="8">$AC$152*C18+$AC$153*G18+$AC$154*K18</f>
        <v>-0.88459957528567312</v>
      </c>
      <c r="AD18" s="14">
        <f t="shared" ref="AD18:AD21" si="9">$AC$152*D18+$AC$153*H18+$AC$154*L18</f>
        <v>3.2993773055271287</v>
      </c>
      <c r="AF18">
        <f>$AC$140*A18+$AC$141*E18+$AC$142*I18</f>
        <v>5.2082977427754145</v>
      </c>
      <c r="AG18">
        <f t="shared" ref="AG18:AG21" si="10">$AC$140*B18+$AC$141*F18+$AC$142*J18</f>
        <v>-2.6925882969022874</v>
      </c>
      <c r="AH18">
        <f t="shared" ref="AH18:AH21" si="11">$AC$140*C18+$AC$141*G18+$AC$142*K18</f>
        <v>-0.87429347550452285</v>
      </c>
      <c r="AI18">
        <f t="shared" ref="AI18:AI21" si="12">$AC$140*D18+$AC$141*H18+$AC$142*L18</f>
        <v>3.3014275496303833</v>
      </c>
      <c r="AK18">
        <f>AP3*$U$3</f>
        <v>-1.2203881262695548</v>
      </c>
      <c r="AL18">
        <f>AQ3*$U$4</f>
        <v>-0.20139941864618946</v>
      </c>
      <c r="AN18" s="16">
        <f>AP10*$AA$3</f>
        <v>1.1852951910567451</v>
      </c>
      <c r="AO18" s="16">
        <f>AQ10*$AA$4</f>
        <v>0.24592992965396193</v>
      </c>
      <c r="BE18" s="9">
        <v>-0.46420473088467901</v>
      </c>
      <c r="BF18">
        <v>6.492563276010227E-2</v>
      </c>
      <c r="BG18">
        <v>0.88736105446571389</v>
      </c>
      <c r="BH18">
        <v>-3.6186702834156438E-4</v>
      </c>
      <c r="BI18">
        <v>-0.15612972126170474</v>
      </c>
      <c r="BJ18">
        <v>-5.6867441025355188E-2</v>
      </c>
      <c r="BK18">
        <v>0.50306306835862891</v>
      </c>
      <c r="BL18">
        <v>-2.2692932750081502E-4</v>
      </c>
      <c r="BM18">
        <v>-0.19330085854382958</v>
      </c>
      <c r="BN18">
        <v>0.19716675566712805</v>
      </c>
      <c r="BO18">
        <v>0.40767188807676863</v>
      </c>
      <c r="BP18" s="10">
        <v>-2.1522255767530941E-4</v>
      </c>
    </row>
    <row r="19" spans="1:68" x14ac:dyDescent="0.25">
      <c r="A19" s="15">
        <v>-1.8549350580094268</v>
      </c>
      <c r="B19" s="15">
        <v>1.4623818587167481</v>
      </c>
      <c r="C19" s="15">
        <v>-0.94814668119777612</v>
      </c>
      <c r="D19" s="15">
        <v>-0.21040376463410981</v>
      </c>
      <c r="E19" s="15">
        <v>-2.9515908962260076</v>
      </c>
      <c r="F19" s="15">
        <v>1.9694413726400053</v>
      </c>
      <c r="G19" s="15">
        <v>-0.61421316092821732</v>
      </c>
      <c r="H19" s="15">
        <v>-1.0209187101450241</v>
      </c>
      <c r="I19" s="15">
        <v>-3.0815231025807828</v>
      </c>
      <c r="J19" s="15">
        <v>1.9168064810142029</v>
      </c>
      <c r="K19" s="15">
        <v>-0.29267254609016291</v>
      </c>
      <c r="L19" s="15">
        <v>-1.2949708034456504</v>
      </c>
      <c r="N19" s="14">
        <v>0.92965439420652163</v>
      </c>
      <c r="O19" s="14">
        <v>-0.63659573097812916</v>
      </c>
      <c r="Q19" s="14">
        <v>1.3894454889944623</v>
      </c>
      <c r="R19" s="14">
        <v>-0.46863908560994427</v>
      </c>
      <c r="T19" s="14">
        <v>1.4155989325911693</v>
      </c>
      <c r="U19" s="14">
        <v>-0.27715679672362903</v>
      </c>
      <c r="AA19" s="14">
        <f t="shared" ref="AA19:AA21" si="13">$AC$152*A19+$AC$153*E19+$AC$154*I19</f>
        <v>-2.6826662967097863</v>
      </c>
      <c r="AB19" s="14">
        <f t="shared" si="7"/>
        <v>1.8043429593760627</v>
      </c>
      <c r="AC19" s="14">
        <f t="shared" si="8"/>
        <v>-0.59413967599270268</v>
      </c>
      <c r="AD19" s="14">
        <f t="shared" si="9"/>
        <v>-0.88653434456733549</v>
      </c>
      <c r="AF19">
        <f t="shared" ref="AF19:AF21" si="14">$AC$140*A19+$AC$141*E19+$AC$142*I19</f>
        <v>-2.6925882969022874</v>
      </c>
      <c r="AG19">
        <f t="shared" si="10"/>
        <v>1.8085470514279764</v>
      </c>
      <c r="AH19">
        <f t="shared" si="11"/>
        <v>-0.59015890937257376</v>
      </c>
      <c r="AI19">
        <f t="shared" si="12"/>
        <v>-0.89447325210375794</v>
      </c>
      <c r="AK19">
        <f>AP4*$U$3</f>
        <v>0.89905855065251283</v>
      </c>
      <c r="AL19">
        <f>AQ4*$U$4</f>
        <v>-0.31792263451833191</v>
      </c>
      <c r="AN19" s="16">
        <f>AP11*$AA$3</f>
        <v>-0.91431133491518568</v>
      </c>
      <c r="AO19" s="16">
        <f>AQ11*$AA$4</f>
        <v>0.26333609653484835</v>
      </c>
      <c r="BE19" s="9">
        <v>0.34100570222186777</v>
      </c>
      <c r="BF19">
        <v>-0.13086084629340736</v>
      </c>
      <c r="BG19">
        <v>-0.5954487227717048</v>
      </c>
      <c r="BH19">
        <v>2.5175800207475512E-4</v>
      </c>
      <c r="BI19">
        <v>0.24931613139697487</v>
      </c>
      <c r="BJ19">
        <v>-0.22901690810054126</v>
      </c>
      <c r="BK19">
        <v>-0.3734100308587901</v>
      </c>
      <c r="BL19">
        <v>1.7883005679598151E-4</v>
      </c>
      <c r="BM19">
        <v>0.28726968757011229</v>
      </c>
      <c r="BN19">
        <v>-0.40082145361809873</v>
      </c>
      <c r="BO19">
        <v>-0.35414665344547142</v>
      </c>
      <c r="BP19" s="10">
        <v>1.9307941662199935E-4</v>
      </c>
    </row>
    <row r="20" spans="1:68" x14ac:dyDescent="0.25">
      <c r="A20" s="15">
        <v>-1.713206747535456</v>
      </c>
      <c r="B20" s="15">
        <v>-0.94814668119777612</v>
      </c>
      <c r="C20" s="15">
        <v>4.8754008642413673</v>
      </c>
      <c r="D20" s="15">
        <v>-3.9818554150690564</v>
      </c>
      <c r="E20" s="15">
        <v>-0.42328113528901667</v>
      </c>
      <c r="F20" s="15">
        <v>-0.61421316092821732</v>
      </c>
      <c r="G20" s="15">
        <v>2.1553565792399185</v>
      </c>
      <c r="H20" s="15">
        <v>-1.9805462557809492</v>
      </c>
      <c r="I20" s="15">
        <v>-0.67144935102181502</v>
      </c>
      <c r="J20" s="15">
        <v>-0.29267254609016291</v>
      </c>
      <c r="K20" s="15">
        <v>1.7137389368827827</v>
      </c>
      <c r="L20" s="15">
        <v>-2.1090248139359531</v>
      </c>
      <c r="N20" s="14">
        <v>0.28098046843212227</v>
      </c>
      <c r="O20" s="14">
        <v>2.9116248291487659</v>
      </c>
      <c r="Q20" s="14">
        <v>-2.6027217860227585E-2</v>
      </c>
      <c r="R20" s="14">
        <v>1.2980042536859864</v>
      </c>
      <c r="T20" s="14">
        <v>0.130005520930424</v>
      </c>
      <c r="U20" s="14">
        <v>1.0213533148868346</v>
      </c>
      <c r="AA20" s="14">
        <f t="shared" si="13"/>
        <v>-0.88459957528567312</v>
      </c>
      <c r="AB20" s="14">
        <f t="shared" si="7"/>
        <v>-0.59413967599270268</v>
      </c>
      <c r="AC20" s="14">
        <f t="shared" si="8"/>
        <v>2.7792174526316735</v>
      </c>
      <c r="AD20" s="14">
        <f t="shared" si="9"/>
        <v>-2.6035096998491403</v>
      </c>
      <c r="AF20">
        <f t="shared" si="14"/>
        <v>-0.87429347550452285</v>
      </c>
      <c r="AG20">
        <f t="shared" si="10"/>
        <v>-0.59015890937257376</v>
      </c>
      <c r="AH20">
        <f t="shared" si="11"/>
        <v>2.7542017290879865</v>
      </c>
      <c r="AI20">
        <f t="shared" si="12"/>
        <v>-2.5866468791064463</v>
      </c>
      <c r="AK20">
        <f>AP5*$U$3</f>
        <v>5.3344829281996457E-2</v>
      </c>
      <c r="AL20">
        <f>AQ5*$U$4</f>
        <v>0.74654283979070091</v>
      </c>
      <c r="AN20" s="16">
        <f>AP12*$AA$3</f>
        <v>1.3214303673551087E-2</v>
      </c>
      <c r="AO20" s="16">
        <f>AQ12*$AA$4</f>
        <v>-0.71404269668805265</v>
      </c>
      <c r="BE20" s="9" t="s">
        <v>82</v>
      </c>
      <c r="BP20" s="10"/>
    </row>
    <row r="21" spans="1:68" x14ac:dyDescent="0.25">
      <c r="A21" s="15">
        <v>3.0852147797134624</v>
      </c>
      <c r="B21" s="15">
        <v>-0.21040376463410981</v>
      </c>
      <c r="C21" s="15">
        <v>-3.9818554150690564</v>
      </c>
      <c r="D21" s="15">
        <v>4.2255740456763373</v>
      </c>
      <c r="E21" s="15">
        <v>3.1031520158260615</v>
      </c>
      <c r="F21" s="15">
        <v>-1.0209187101450241</v>
      </c>
      <c r="G21" s="15">
        <v>-1.9805462557809492</v>
      </c>
      <c r="H21" s="15">
        <v>3.2786388723919604</v>
      </c>
      <c r="I21" s="15">
        <v>3.6601057645128727</v>
      </c>
      <c r="J21" s="15">
        <v>-1.2949708034456504</v>
      </c>
      <c r="K21" s="15">
        <v>-2.1090248139359531</v>
      </c>
      <c r="L21" s="15">
        <v>4.0742362306791646</v>
      </c>
      <c r="N21" s="14">
        <v>-0.98793971041736839</v>
      </c>
      <c r="O21" s="14">
        <v>-2.3238208667897333</v>
      </c>
      <c r="Q21" s="14">
        <v>-1.1970688204165938</v>
      </c>
      <c r="R21" s="14">
        <v>-1.1055010656519457</v>
      </c>
      <c r="T21" s="14">
        <v>-1.4347649395223094</v>
      </c>
      <c r="U21" s="14">
        <v>-1.1658560759962251</v>
      </c>
      <c r="AA21" s="14">
        <f t="shared" si="13"/>
        <v>3.2993773055271287</v>
      </c>
      <c r="AB21" s="14">
        <f t="shared" si="7"/>
        <v>-0.88653434456733549</v>
      </c>
      <c r="AC21" s="14">
        <f t="shared" si="8"/>
        <v>-2.6035096998491403</v>
      </c>
      <c r="AD21" s="14">
        <f t="shared" si="9"/>
        <v>3.8391022585355756</v>
      </c>
      <c r="AF21">
        <f t="shared" si="14"/>
        <v>3.3014275496303833</v>
      </c>
      <c r="AG21">
        <f t="shared" si="10"/>
        <v>-0.89447325210375794</v>
      </c>
      <c r="AH21">
        <f t="shared" si="11"/>
        <v>-2.5866468791064463</v>
      </c>
      <c r="AI21">
        <f t="shared" si="12"/>
        <v>3.833623864399482</v>
      </c>
      <c r="AK21">
        <f>AP6*$U$3</f>
        <v>-1.3531923284007645E-2</v>
      </c>
      <c r="AL21">
        <f>AQ6*$U$4</f>
        <v>-1.6361570436122384E-2</v>
      </c>
      <c r="AN21" s="16">
        <f>AP13*$AA$3</f>
        <v>1.2288396740064529E-2</v>
      </c>
      <c r="AO21" s="16">
        <f>AQ13*$AA$4</f>
        <v>1.6755368356976764E-2</v>
      </c>
      <c r="BE21" s="9" t="s">
        <v>83</v>
      </c>
      <c r="BI21" t="s">
        <v>84</v>
      </c>
      <c r="BM21" t="s">
        <v>85</v>
      </c>
      <c r="BP21" s="10"/>
    </row>
    <row r="22" spans="1:68" x14ac:dyDescent="0.25">
      <c r="A22" t="s">
        <v>81</v>
      </c>
      <c r="N22" t="s">
        <v>153</v>
      </c>
      <c r="O22" t="s">
        <v>159</v>
      </c>
      <c r="AK22" t="s">
        <v>155</v>
      </c>
      <c r="BE22" s="9" cm="1">
        <f t="array" ref="BE22:BH25">MMULT(_xlfn.ANCHORARRAY(BE16),_xlfn.ANCHORARRAY(BE9))</f>
        <v>6.1422933305625751</v>
      </c>
      <c r="BF22">
        <v>-5.4872511926510885</v>
      </c>
      <c r="BG22">
        <v>-2.9150628902495308</v>
      </c>
      <c r="BH22">
        <v>2.2600207523380544</v>
      </c>
      <c r="BI22" cm="1">
        <f t="array" ref="BI22:BL25">MMULT(_xlfn.ANCHORARRAY(BE16),_xlfn.ANCHORARRAY(BI9))</f>
        <v>8.1422187487784772</v>
      </c>
      <c r="BJ22">
        <v>-8.9228899764929253</v>
      </c>
      <c r="BK22">
        <v>-1.106824511079775</v>
      </c>
      <c r="BL22">
        <v>1.8874957387942237</v>
      </c>
      <c r="BM22" cm="1">
        <f t="array" ref="BM22:BP25">MMULT(_xlfn.ANCHORARRAY(BE16),_xlfn.ANCHORARRAY(BM9))</f>
        <v>8.733184751862396</v>
      </c>
      <c r="BN22">
        <v>-9.4309801108200038</v>
      </c>
      <c r="BO22">
        <v>-1.6988050928849565</v>
      </c>
      <c r="BP22" s="10">
        <v>2.3966004518425543</v>
      </c>
    </row>
    <row r="23" spans="1:68" x14ac:dyDescent="0.25">
      <c r="A23" t="s">
        <v>87</v>
      </c>
      <c r="E23" t="s">
        <v>97</v>
      </c>
      <c r="I23" t="s">
        <v>88</v>
      </c>
      <c r="N23" t="s">
        <v>146</v>
      </c>
      <c r="Q23" t="s">
        <v>160</v>
      </c>
      <c r="T23" t="s">
        <v>161</v>
      </c>
      <c r="AA23" cm="1">
        <f t="array" ref="AA23:AB25">MMULT(MMULT(MMULT(_xlfn.ANCHORARRAY(AE12),N1:Q4),_xlfn.ANCHORARRAY(AK24)),U7:V8)</f>
        <v>0.86598783658312273</v>
      </c>
      <c r="AB23">
        <v>0.25971799756759339</v>
      </c>
      <c r="AK23" t="s">
        <v>124</v>
      </c>
      <c r="AN23" t="s">
        <v>125</v>
      </c>
      <c r="BE23" s="9">
        <v>-5.4872511926510894</v>
      </c>
      <c r="BF23">
        <v>5.3153070368985622</v>
      </c>
      <c r="BG23">
        <v>1.4436732224590227</v>
      </c>
      <c r="BH23">
        <v>-1.2717290667065031</v>
      </c>
      <c r="BI23">
        <v>-7.8031434484195774</v>
      </c>
      <c r="BJ23">
        <v>8.7700390561626076</v>
      </c>
      <c r="BK23">
        <v>0.30519417352485362</v>
      </c>
      <c r="BL23">
        <v>-1.272089781267882</v>
      </c>
      <c r="BM23">
        <v>-8.3425876938883796</v>
      </c>
      <c r="BN23">
        <v>9.1052363577207398</v>
      </c>
      <c r="BO23">
        <v>1.0530225006776746</v>
      </c>
      <c r="BP23" s="10">
        <v>-1.8156711645100283</v>
      </c>
    </row>
    <row r="24" spans="1:68" x14ac:dyDescent="0.25">
      <c r="A24" cm="1">
        <f t="array" ref="A24:D27">MMULT(_xlfn.ANCHORARRAY(A18),$N$1:$Q$4)</f>
        <v>1.2798207543977933</v>
      </c>
      <c r="B24">
        <v>-0.93491507534455298</v>
      </c>
      <c r="C24">
        <v>-0.34528356102688856</v>
      </c>
      <c r="D24">
        <v>3.7788197364640715E-4</v>
      </c>
      <c r="E24" cm="1">
        <f t="array" ref="E24:H27">MMULT(_xlfn.ANCHORARRAY(E18),$N$1:$Q$4)</f>
        <v>1.5725750150334148</v>
      </c>
      <c r="F24">
        <v>-1.4876460570499448</v>
      </c>
      <c r="G24">
        <v>-8.5309036938095037E-2</v>
      </c>
      <c r="H24">
        <v>3.8007895462437976E-4</v>
      </c>
      <c r="I24" cm="1">
        <f t="array" ref="I24:L27">MMULT(_xlfn.ANCHORARRAY(I18),$N$1:$Q$4)</f>
        <v>1.6880109614349554</v>
      </c>
      <c r="J24">
        <v>-1.5531338367807441</v>
      </c>
      <c r="K24">
        <v>-0.135325420182661</v>
      </c>
      <c r="L24">
        <v>4.4829552844848287E-4</v>
      </c>
      <c r="N24" s="14" cm="1">
        <f t="array" ref="N24:O27">MMULT(A12:C15,MMULT(X103:Y105,AA6:AB7))</f>
        <v>1.7937109530788693</v>
      </c>
      <c r="O24" s="14">
        <v>1.0072726431596752</v>
      </c>
      <c r="Q24" s="14" cm="1">
        <f t="array" ref="Q24:R27">MMULT(E12:G15,MMULT(X103:Y105,AA6:AB7))</f>
        <v>2.2885280940541346</v>
      </c>
      <c r="R24" s="14">
        <v>0.30925828963928981</v>
      </c>
      <c r="T24" s="14" cm="1">
        <f t="array" ref="T24:U27">MMULT(I12:K15,MMULT(X103:Y105,AA6:AB7))</f>
        <v>2.3831107713936572</v>
      </c>
      <c r="U24" s="14">
        <v>0.169612023356145</v>
      </c>
      <c r="AA24">
        <v>-1.1102050003853461</v>
      </c>
      <c r="AB24">
        <v>0.19409637818033545</v>
      </c>
      <c r="AK24" s="14" cm="1">
        <f t="array" ref="AK24:AL27">MMULT(N5:Q8,AK18:AL21)</f>
        <v>-2.2495097967636646</v>
      </c>
      <c r="AL24" s="14">
        <v>-0.3712343274692283</v>
      </c>
      <c r="AN24" s="16" cm="1">
        <f t="array" ref="AN24:AO27">MMULT(N5:Q8,AN18:AO21)</f>
        <v>2.1848238990077471</v>
      </c>
      <c r="AO24" s="16">
        <v>0.45331626403565373</v>
      </c>
      <c r="BE24" s="9">
        <v>-2.9150628902495308</v>
      </c>
      <c r="BF24">
        <v>1.4436732224590227</v>
      </c>
      <c r="BG24">
        <v>4.6485015169919297</v>
      </c>
      <c r="BH24">
        <v>-3.1771118492014256</v>
      </c>
      <c r="BI24">
        <v>-2.3858853133269</v>
      </c>
      <c r="BJ24">
        <v>1.9987010927705173</v>
      </c>
      <c r="BK24">
        <v>2.4545072596838207</v>
      </c>
      <c r="BL24">
        <v>-2.0673230391274409</v>
      </c>
      <c r="BM24">
        <v>-2.6350751173745706</v>
      </c>
      <c r="BN24">
        <v>2.5737886212527505</v>
      </c>
      <c r="BO24">
        <v>2.1258298392526083</v>
      </c>
      <c r="BP24" s="10">
        <v>-2.064543343130782</v>
      </c>
    </row>
    <row r="25" spans="1:68" x14ac:dyDescent="0.25">
      <c r="A25">
        <v>-0.54594498216071163</v>
      </c>
      <c r="B25">
        <v>0.73706237839498945</v>
      </c>
      <c r="C25">
        <v>-0.19109162564923815</v>
      </c>
      <c r="D25">
        <v>-2.5770585038476891E-5</v>
      </c>
      <c r="E25">
        <v>-0.86871302163810715</v>
      </c>
      <c r="F25">
        <v>0.99262797440699024</v>
      </c>
      <c r="G25">
        <v>-0.12378990903459956</v>
      </c>
      <c r="H25">
        <v>-1.2504373428354174E-4</v>
      </c>
      <c r="I25">
        <v>-0.90695470334775286</v>
      </c>
      <c r="J25">
        <v>0.96609920001264737</v>
      </c>
      <c r="K25">
        <v>-5.8985886597861546E-2</v>
      </c>
      <c r="L25">
        <v>-1.5861006703266336E-4</v>
      </c>
      <c r="N25" s="14">
        <v>-1.1701888658435533</v>
      </c>
      <c r="O25" s="14">
        <v>0.28181366262527541</v>
      </c>
      <c r="Q25" s="14">
        <v>-1.3443097323112525</v>
      </c>
      <c r="R25" s="14">
        <v>0.40281786769334793</v>
      </c>
      <c r="T25" s="14">
        <v>-1.3229219897524969</v>
      </c>
      <c r="U25" s="14">
        <v>0.40810270390806452</v>
      </c>
      <c r="AA25">
        <v>0.84985116239796643</v>
      </c>
      <c r="AB25">
        <v>-0.58320388399123901</v>
      </c>
      <c r="AK25" s="14">
        <v>1.266386432796333</v>
      </c>
      <c r="AL25" s="14">
        <v>-0.44781611914004588</v>
      </c>
      <c r="AN25" s="16">
        <v>-1.2878710391532819</v>
      </c>
      <c r="AO25" s="16">
        <v>0.37092718786250645</v>
      </c>
      <c r="BE25" s="9">
        <v>2.260020752338054</v>
      </c>
      <c r="BF25">
        <v>-1.2717290667065031</v>
      </c>
      <c r="BG25">
        <v>-3.1771118492014256</v>
      </c>
      <c r="BH25">
        <v>2.1888201635698774</v>
      </c>
      <c r="BI25">
        <v>2.046810012968014</v>
      </c>
      <c r="BJ25">
        <v>-1.8458501724402128</v>
      </c>
      <c r="BK25">
        <v>-1.6528769221289008</v>
      </c>
      <c r="BL25">
        <v>1.451917081601102</v>
      </c>
      <c r="BM25">
        <v>2.2444780594005658</v>
      </c>
      <c r="BN25">
        <v>-2.2480448681535004</v>
      </c>
      <c r="BO25">
        <v>-1.4800472470453292</v>
      </c>
      <c r="BP25" s="10">
        <v>1.4836140557982596</v>
      </c>
    </row>
    <row r="26" spans="1:68" x14ac:dyDescent="0.25">
      <c r="A26">
        <v>-0.50423146793320361</v>
      </c>
      <c r="B26">
        <v>-0.47788014036510912</v>
      </c>
      <c r="C26">
        <v>0.98259931223157315</v>
      </c>
      <c r="D26">
        <v>-4.8770393326090386E-4</v>
      </c>
      <c r="E26">
        <v>-0.12458021689574084</v>
      </c>
      <c r="F26">
        <v>-0.30957264037213644</v>
      </c>
      <c r="G26">
        <v>0.43439543769791877</v>
      </c>
      <c r="H26">
        <v>-2.4258043004124835E-4</v>
      </c>
      <c r="I26">
        <v>-0.19762115249404236</v>
      </c>
      <c r="J26">
        <v>-0.14751135049051203</v>
      </c>
      <c r="K26">
        <v>0.34539081967109475</v>
      </c>
      <c r="L26">
        <v>-2.5831668653985315E-4</v>
      </c>
      <c r="N26" s="14">
        <v>0.30656595860109326</v>
      </c>
      <c r="O26" s="14">
        <v>-2.1768957254280483</v>
      </c>
      <c r="Q26" s="14">
        <v>1.9103658534810664E-2</v>
      </c>
      <c r="R26" s="14">
        <v>-1.4597922102468617</v>
      </c>
      <c r="T26" s="14">
        <v>-0.17265598608124344</v>
      </c>
      <c r="U26" s="14">
        <v>-1.2691037169597803</v>
      </c>
      <c r="AK26" s="14">
        <v>0.11882539500931781</v>
      </c>
      <c r="AL26" s="14">
        <v>1.6629212057380482</v>
      </c>
      <c r="AN26" s="16">
        <v>2.9434808863709645E-2</v>
      </c>
      <c r="AO26" s="16">
        <v>-1.5905272662689256</v>
      </c>
      <c r="BE26" s="9" t="s">
        <v>94</v>
      </c>
      <c r="BI26" t="s">
        <v>86</v>
      </c>
      <c r="BM26" t="s">
        <v>92</v>
      </c>
      <c r="BP26" s="10"/>
    </row>
    <row r="27" spans="1:68" x14ac:dyDescent="0.25">
      <c r="A27">
        <v>0.90804123874835418</v>
      </c>
      <c r="B27">
        <v>-0.10604665139962904</v>
      </c>
      <c r="C27">
        <v>-0.80251214232436907</v>
      </c>
      <c r="D27">
        <v>5.175549756433835E-4</v>
      </c>
      <c r="E27">
        <v>0.91332053087624909</v>
      </c>
      <c r="F27">
        <v>-0.51455833383200222</v>
      </c>
      <c r="G27">
        <v>-0.39916376990592278</v>
      </c>
      <c r="H27">
        <v>4.0157286167557209E-4</v>
      </c>
      <c r="I27">
        <v>1.0772433070824754</v>
      </c>
      <c r="J27">
        <v>-0.65268469698966347</v>
      </c>
      <c r="K27">
        <v>-0.42505762897411548</v>
      </c>
      <c r="L27">
        <v>4.9901888130256169E-4</v>
      </c>
      <c r="N27" s="14">
        <v>0.66333501713090248</v>
      </c>
      <c r="O27" s="14">
        <v>1.9384291161508982</v>
      </c>
      <c r="Q27" s="14">
        <v>1.158229463704052</v>
      </c>
      <c r="R27" s="14">
        <v>1.3275147346010359</v>
      </c>
      <c r="T27" s="14">
        <v>1.4058630900934628</v>
      </c>
      <c r="U27" s="14">
        <v>1.3707842234516285</v>
      </c>
      <c r="AK27" s="14">
        <v>-1.2227119059569875</v>
      </c>
      <c r="AL27" s="14">
        <v>-1.478391988524179</v>
      </c>
      <c r="AN27" s="16">
        <v>1.1103498507826335</v>
      </c>
      <c r="AO27" s="16">
        <v>1.5139746175610143</v>
      </c>
      <c r="BE27" s="9" cm="1">
        <f t="array" ref="BE27:BH30">MMULT(_xlfn.ANCHORARRAY(BI16),_xlfn.ANCHORARRAY(BE9))</f>
        <v>8.1422187487784772</v>
      </c>
      <c r="BF27">
        <v>-7.8031434484195783</v>
      </c>
      <c r="BG27">
        <v>-2.3858853133269</v>
      </c>
      <c r="BH27">
        <v>2.046810012968014</v>
      </c>
      <c r="BI27" cm="1">
        <f t="array" ref="BI27:BL30">MMULT(_xlfn.ANCHORARRAY(BI16),_xlfn.ANCHORARRAY(BI9))</f>
        <v>11.481837265614674</v>
      </c>
      <c r="BJ27">
        <v>-12.860616282167234</v>
      </c>
      <c r="BK27">
        <v>-0.60441104558077408</v>
      </c>
      <c r="BL27">
        <v>1.983190062133338</v>
      </c>
      <c r="BM27" cm="1">
        <f t="array" ref="BM27:BP30">MMULT(_xlfn.ANCHORARRAY(BI16),_xlfn.ANCHORARRAY(BM9))</f>
        <v>12.281324790114203</v>
      </c>
      <c r="BN27">
        <v>-13.382891567899017</v>
      </c>
      <c r="BO27">
        <v>-1.6767514610716614</v>
      </c>
      <c r="BP27" s="10">
        <v>2.7783182388564667</v>
      </c>
    </row>
    <row r="28" spans="1:68" x14ac:dyDescent="0.25">
      <c r="A28" t="s">
        <v>82</v>
      </c>
      <c r="AK28" s="18" cm="1">
        <f t="array" ref="AK28">AK24/MAX(ABS($AK$24:$AL$27))</f>
        <v>-1</v>
      </c>
      <c r="AL28" s="18" cm="1">
        <f t="array" ref="AL28">AL24/MAX(ABS($AK$24:$AL$27))</f>
        <v>-0.16502898898387439</v>
      </c>
      <c r="AN28" t="s">
        <v>188</v>
      </c>
      <c r="BE28" s="9">
        <v>-8.9228899764929253</v>
      </c>
      <c r="BF28">
        <v>8.7700390561626076</v>
      </c>
      <c r="BG28">
        <v>1.9987010927705173</v>
      </c>
      <c r="BH28">
        <v>-1.8458501724402128</v>
      </c>
      <c r="BI28">
        <v>-12.860616282167234</v>
      </c>
      <c r="BJ28">
        <v>14.514482444255707</v>
      </c>
      <c r="BK28">
        <v>0.29787631729095615</v>
      </c>
      <c r="BL28">
        <v>-1.9517424793794282</v>
      </c>
      <c r="BM28">
        <v>-13.742559705552711</v>
      </c>
      <c r="BN28">
        <v>15.023835998054798</v>
      </c>
      <c r="BO28">
        <v>1.5874476156288322</v>
      </c>
      <c r="BP28" s="10">
        <v>-2.8687239081309097</v>
      </c>
    </row>
    <row r="29" spans="1:68" x14ac:dyDescent="0.25">
      <c r="A29" t="s">
        <v>83</v>
      </c>
      <c r="E29" t="s">
        <v>84</v>
      </c>
      <c r="I29" t="s">
        <v>85</v>
      </c>
      <c r="AA29" s="5"/>
      <c r="AK29" s="18" cm="1">
        <f t="array" ref="AK29">AK25/MAX(ABS($AK$24:$AL$27))</f>
        <v>0.56296106583677197</v>
      </c>
      <c r="AL29" s="18" cm="1">
        <f t="array" ref="AL29">AL25/MAX(ABS($AK$24:$AL$27))</f>
        <v>-0.19907275788899079</v>
      </c>
      <c r="AN29" t="s">
        <v>125</v>
      </c>
      <c r="BE29" s="9">
        <v>-1.106824511079775</v>
      </c>
      <c r="BF29">
        <v>0.30519417352485362</v>
      </c>
      <c r="BG29">
        <v>2.4545072596838207</v>
      </c>
      <c r="BH29">
        <v>-1.652876922128901</v>
      </c>
      <c r="BI29">
        <v>-0.60441104558077419</v>
      </c>
      <c r="BJ29">
        <v>0.29787631729095609</v>
      </c>
      <c r="BK29">
        <v>1.3453390723121537</v>
      </c>
      <c r="BL29">
        <v>-1.0388043440223371</v>
      </c>
      <c r="BM29">
        <v>-0.69350544957708737</v>
      </c>
      <c r="BN29">
        <v>0.58673187203950439</v>
      </c>
      <c r="BO29">
        <v>1.0982705568527882</v>
      </c>
      <c r="BP29" s="10">
        <v>-0.99149697931520275</v>
      </c>
    </row>
    <row r="30" spans="1:68" x14ac:dyDescent="0.25">
      <c r="A30" cm="1">
        <f t="array" ref="A30:D33">MMULT(_xlfn.ANCHORARRAY(A24),_xlfn.ANCHORARRAY(A18))</f>
        <v>7.8920807860189592</v>
      </c>
      <c r="B30">
        <v>-3.4138872762552634</v>
      </c>
      <c r="C30">
        <v>-2.9910613694023609</v>
      </c>
      <c r="D30">
        <v>5.5216975437871936</v>
      </c>
      <c r="E30" cm="1">
        <f t="array" ref="E30:H33">MMULT(_xlfn.ANCHORARRAY(A24),_xlfn.ANCHORARRAY(E18))</f>
        <v>9.7449886697646395</v>
      </c>
      <c r="F30">
        <v>-5.4070757961122844</v>
      </c>
      <c r="G30">
        <v>-0.71244444595184808</v>
      </c>
      <c r="H30">
        <v>5.6110396492239323</v>
      </c>
      <c r="I30" cm="1">
        <f t="array" ref="I30:L33">MMULT(_xlfn.ANCHORARRAY(A24),_xlfn.ANCHORARRAY(I18))</f>
        <v>10.454324198854968</v>
      </c>
      <c r="J30">
        <v>-5.6352828246516911</v>
      </c>
      <c r="K30">
        <v>-1.1782336847419619</v>
      </c>
      <c r="L30">
        <v>6.6247182254647905</v>
      </c>
      <c r="N30" cm="1">
        <f t="array" ref="N30:Q33">MMULT(_xlfn.ANCHORARRAY(I18),$N$9:$Q$12)</f>
        <v>3.1114668465347499</v>
      </c>
      <c r="O30">
        <v>-2.187696916723108</v>
      </c>
      <c r="P30">
        <v>-0.3014368351054697</v>
      </c>
      <c r="Q30">
        <v>4.0506901237685869E-2</v>
      </c>
      <c r="AK30" s="18" cm="1">
        <f t="array" ref="AK30">AK26/MAX(ABS($AK$24:$AL$27))</f>
        <v>5.2822795073073296E-2</v>
      </c>
      <c r="AL30" s="18" cm="1">
        <f t="array" ref="AL30">AL26/MAX(ABS($AK$24:$AL$27))</f>
        <v>0.73923714763566162</v>
      </c>
      <c r="AN30" s="14">
        <f t="shared" ref="AN30:AO33" si="15">$AC$140*N24+$AC$141*Q24+$AC$142*T24</f>
        <v>2.1847888031448481</v>
      </c>
      <c r="AO30" s="14">
        <f t="shared" si="15"/>
        <v>0.45332680873979336</v>
      </c>
      <c r="BE30" s="9">
        <v>1.8874957387942239</v>
      </c>
      <c r="BF30">
        <v>-1.272089781267882</v>
      </c>
      <c r="BG30">
        <v>-2.0673230391274409</v>
      </c>
      <c r="BH30">
        <v>1.451917081601102</v>
      </c>
      <c r="BI30">
        <v>1.9831900621333378</v>
      </c>
      <c r="BJ30">
        <v>-1.9517424793794285</v>
      </c>
      <c r="BK30">
        <v>-1.0388043440223371</v>
      </c>
      <c r="BL30">
        <v>1.0073567612684293</v>
      </c>
      <c r="BM30">
        <v>2.1547403650155972</v>
      </c>
      <c r="BN30">
        <v>-2.2276763021952872</v>
      </c>
      <c r="BO30">
        <v>-1.0089667114099607</v>
      </c>
      <c r="BP30" s="10">
        <v>1.0819026485896468</v>
      </c>
    </row>
    <row r="31" spans="1:68" x14ac:dyDescent="0.25">
      <c r="A31">
        <v>-3.413887276255263</v>
      </c>
      <c r="B31">
        <v>2.2717474509538085</v>
      </c>
      <c r="C31">
        <v>-0.6950722827860919</v>
      </c>
      <c r="D31">
        <v>-1.0786478982066194</v>
      </c>
      <c r="E31">
        <v>-5.011725622550399</v>
      </c>
      <c r="F31">
        <v>3.1804046825027288</v>
      </c>
      <c r="G31">
        <v>-0.63344475412595802</v>
      </c>
      <c r="H31">
        <v>-2.0682497333207501</v>
      </c>
      <c r="I31">
        <v>-5.2742114327761653</v>
      </c>
      <c r="J31">
        <v>3.1511086638560282</v>
      </c>
      <c r="K31">
        <v>-0.17657032753071872</v>
      </c>
      <c r="L31">
        <v>-2.5497786518746661</v>
      </c>
      <c r="N31">
        <v>-1.6717660934952594</v>
      </c>
      <c r="O31">
        <v>1.3608178452264945</v>
      </c>
      <c r="P31">
        <v>-0.13139082773916053</v>
      </c>
      <c r="Q31">
        <v>-1.4331622585731755E-2</v>
      </c>
      <c r="AK31" s="18" cm="1">
        <f t="array" ref="AK31">AK27/MAX(ABS($AK$24:$AL$27))</f>
        <v>-0.54354593508153848</v>
      </c>
      <c r="AL31" s="18" cm="1">
        <f t="array" ref="AL31">AL27/MAX(ABS($AK$24:$AL$27))</f>
        <v>-0.65720629029983291</v>
      </c>
      <c r="AN31" s="14">
        <f t="shared" si="15"/>
        <v>-1.2878503514697395</v>
      </c>
      <c r="AO31" s="14">
        <f t="shared" si="15"/>
        <v>0.3709358160935271</v>
      </c>
      <c r="BE31" s="9" t="s">
        <v>95</v>
      </c>
      <c r="BI31" t="s">
        <v>96</v>
      </c>
      <c r="BM31" t="s">
        <v>93</v>
      </c>
      <c r="BP31" s="10"/>
    </row>
    <row r="32" spans="1:68" x14ac:dyDescent="0.25">
      <c r="A32">
        <v>-2.9910613694023609</v>
      </c>
      <c r="B32">
        <v>-0.69507228278609179</v>
      </c>
      <c r="C32">
        <v>6.1094607248847677</v>
      </c>
      <c r="D32">
        <v>-5.3697438180222195</v>
      </c>
      <c r="E32">
        <v>-1.7010686268312669</v>
      </c>
      <c r="F32">
        <v>-5.5899432676908681E-2</v>
      </c>
      <c r="G32">
        <v>2.6257697523275771</v>
      </c>
      <c r="H32">
        <v>-3.0245125135013704</v>
      </c>
      <c r="I32">
        <v>-2.0808637947344222</v>
      </c>
      <c r="J32">
        <v>0.35084888714161089</v>
      </c>
      <c r="K32">
        <v>2.1633755697376986</v>
      </c>
      <c r="L32">
        <v>-3.301013025799306</v>
      </c>
      <c r="N32">
        <v>-0.36426994741579749</v>
      </c>
      <c r="O32">
        <v>-0.20777998586306756</v>
      </c>
      <c r="P32">
        <v>0.76935667678406139</v>
      </c>
      <c r="Q32">
        <v>-2.3340871915296262E-2</v>
      </c>
      <c r="AN32" s="14">
        <f t="shared" si="15"/>
        <v>2.9434336038411016E-2</v>
      </c>
      <c r="AO32" s="14">
        <f t="shared" si="15"/>
        <v>-1.5905642639254738</v>
      </c>
      <c r="BE32" s="9" cm="1">
        <f t="array" ref="BE32:BH35">MMULT(_xlfn.ANCHORARRAY(BM16),_xlfn.ANCHORARRAY(BE9))</f>
        <v>8.7331847518623977</v>
      </c>
      <c r="BF32">
        <v>-8.3425876938883796</v>
      </c>
      <c r="BG32">
        <v>-2.635075117374571</v>
      </c>
      <c r="BH32">
        <v>2.2444780594005662</v>
      </c>
      <c r="BI32" cm="1">
        <f t="array" ref="BI32:BL35">MMULT(_xlfn.ANCHORARRAY(BM16),_xlfn.ANCHORARRAY(BI9))</f>
        <v>12.281324790114205</v>
      </c>
      <c r="BJ32">
        <v>-13.742559705552713</v>
      </c>
      <c r="BK32">
        <v>-0.69350544957708737</v>
      </c>
      <c r="BL32">
        <v>2.1547403650155972</v>
      </c>
      <c r="BM32" cm="1">
        <f t="array" ref="BM32:BP35">MMULT(_xlfn.ANCHORARRAY(BM16),_xlfn.ANCHORARRAY(BM9))</f>
        <v>13.138167059615098</v>
      </c>
      <c r="BN32">
        <v>-14.310516269206476</v>
      </c>
      <c r="BO32">
        <v>-1.8298155443493627</v>
      </c>
      <c r="BP32" s="10">
        <v>3.0021647539407326</v>
      </c>
    </row>
    <row r="33" spans="1:68" x14ac:dyDescent="0.25">
      <c r="A33">
        <v>5.5216975437871945</v>
      </c>
      <c r="B33">
        <v>-1.0786478982066194</v>
      </c>
      <c r="C33">
        <v>-5.3697438180222195</v>
      </c>
      <c r="D33">
        <v>6.0214891515023137</v>
      </c>
      <c r="E33">
        <v>5.5060323118878571</v>
      </c>
      <c r="F33">
        <v>-2.3966337783216272</v>
      </c>
      <c r="G33">
        <v>-2.0499463449125517</v>
      </c>
      <c r="H33">
        <v>4.5171643055982793</v>
      </c>
      <c r="I33">
        <v>6.075402135877372</v>
      </c>
      <c r="J33">
        <v>-2.7672179106120809</v>
      </c>
      <c r="K33">
        <v>-1.9550545988978587</v>
      </c>
      <c r="L33">
        <v>5.1554809526040897</v>
      </c>
      <c r="N33">
        <v>1.9856546623306577</v>
      </c>
      <c r="O33">
        <v>-0.91935174251065921</v>
      </c>
      <c r="P33">
        <v>-0.94681417757614472</v>
      </c>
      <c r="Q33">
        <v>4.5090140895720013E-2</v>
      </c>
      <c r="AN33" s="14">
        <f t="shared" si="15"/>
        <v>1.1103320147061626</v>
      </c>
      <c r="AO33" s="14">
        <f t="shared" si="15"/>
        <v>1.5140098345070605</v>
      </c>
      <c r="BE33" s="9">
        <v>-9.4309801108200038</v>
      </c>
      <c r="BF33">
        <v>9.1052363577207416</v>
      </c>
      <c r="BG33">
        <v>2.5737886212527505</v>
      </c>
      <c r="BH33">
        <v>-2.2480448681535004</v>
      </c>
      <c r="BI33">
        <v>-13.382891567899017</v>
      </c>
      <c r="BJ33">
        <v>15.0238359980548</v>
      </c>
      <c r="BK33">
        <v>0.58673187203950439</v>
      </c>
      <c r="BL33">
        <v>-2.2276763021952872</v>
      </c>
      <c r="BM33">
        <v>-14.310516269206476</v>
      </c>
      <c r="BN33">
        <v>15.609376116175021</v>
      </c>
      <c r="BO33">
        <v>1.8628919508592048</v>
      </c>
      <c r="BP33" s="10">
        <v>-3.1617517978277401</v>
      </c>
    </row>
    <row r="34" spans="1:68" x14ac:dyDescent="0.25">
      <c r="A34" t="s">
        <v>94</v>
      </c>
      <c r="E34" t="s">
        <v>86</v>
      </c>
      <c r="I34" t="s">
        <v>92</v>
      </c>
      <c r="AN34" s="18" cm="1">
        <f t="array" ref="AN34">AN30/MAX(ABS($AN$30:$AO$33))</f>
        <v>1</v>
      </c>
      <c r="AO34" s="18" cm="1">
        <f t="array" ref="AO34">AO30/MAX(ABS($AN$30:$AO$33))</f>
        <v>0.20749227938520265</v>
      </c>
      <c r="BE34" s="9">
        <v>-1.6988050928849565</v>
      </c>
      <c r="BF34">
        <v>1.0530225006776748</v>
      </c>
      <c r="BG34">
        <v>2.1258298392526083</v>
      </c>
      <c r="BH34">
        <v>-1.4800472470453292</v>
      </c>
      <c r="BI34">
        <v>-1.6767514610716612</v>
      </c>
      <c r="BJ34">
        <v>1.5874476156288322</v>
      </c>
      <c r="BK34">
        <v>1.098270556852788</v>
      </c>
      <c r="BL34">
        <v>-1.0089667114099607</v>
      </c>
      <c r="BM34">
        <v>-1.8298155443493622</v>
      </c>
      <c r="BN34">
        <v>1.8628919508592048</v>
      </c>
      <c r="BO34">
        <v>1.0290855096240739</v>
      </c>
      <c r="BP34" s="10">
        <v>-1.0621619161339129</v>
      </c>
    </row>
    <row r="35" spans="1:68" x14ac:dyDescent="0.25">
      <c r="A35" cm="1">
        <f t="array" ref="A35:D38">MMULT(_xlfn.ANCHORARRAY(E24),_xlfn.ANCHORARRAY(A18))</f>
        <v>9.7449886697646395</v>
      </c>
      <c r="B35">
        <v>-5.0117256225504008</v>
      </c>
      <c r="C35">
        <v>-1.7010686268312667</v>
      </c>
      <c r="D35">
        <v>5.5060323118878571</v>
      </c>
      <c r="E35" cm="1">
        <f t="array" ref="E35:H38">MMULT(_xlfn.ANCHORARRAY(E24),_xlfn.ANCHORARRAY(E18))</f>
        <v>12.830596634400857</v>
      </c>
      <c r="F35">
        <v>-7.5194198870866575</v>
      </c>
      <c r="G35">
        <v>6.3466291368932601E-2</v>
      </c>
      <c r="H35">
        <v>6.5689096569816332</v>
      </c>
      <c r="I35" cm="1">
        <f t="array" ref="I35:L38">MMULT(_xlfn.ANCHORARRAY(E24),_xlfn.ANCHORARRAY(I18))</f>
        <v>13.66205526905444</v>
      </c>
      <c r="J35">
        <v>-7.6729804210794184</v>
      </c>
      <c r="K35">
        <v>-0.767510328294851</v>
      </c>
      <c r="L35">
        <v>7.8637164945963098</v>
      </c>
      <c r="N35" cm="1">
        <f t="array" ref="N35:Q38">MMULT(_xlfn.ANCHORARRAY(N30),_xlfn.ANCHORARRAY(I18))</f>
        <v>24.937250501640968</v>
      </c>
      <c r="O35">
        <v>-13.74568156740583</v>
      </c>
      <c r="P35">
        <v>-2.0509276693175909</v>
      </c>
      <c r="Q35">
        <v>15.022073824723901</v>
      </c>
      <c r="AN35" s="18" cm="1">
        <f t="array" ref="AN35">AN31/MAX(ABS($AN$30:$AO$33))</f>
        <v>-0.58946217117918698</v>
      </c>
      <c r="AO35" s="18" cm="1">
        <f t="array" ref="AO35">AO31/MAX(ABS($AN$30:$AO$33))</f>
        <v>0.16978108618992893</v>
      </c>
      <c r="BE35" s="9">
        <v>2.3966004518425543</v>
      </c>
      <c r="BF35">
        <v>-1.8156711645100287</v>
      </c>
      <c r="BG35">
        <v>-2.0645433431307825</v>
      </c>
      <c r="BH35">
        <v>1.4836140557982596</v>
      </c>
      <c r="BI35">
        <v>2.7783182388564667</v>
      </c>
      <c r="BJ35">
        <v>-2.8687239081309097</v>
      </c>
      <c r="BK35">
        <v>-0.99149697931520275</v>
      </c>
      <c r="BL35">
        <v>1.081902648589647</v>
      </c>
      <c r="BM35">
        <v>3.0021647539407326</v>
      </c>
      <c r="BN35">
        <v>-3.1617517978277401</v>
      </c>
      <c r="BO35">
        <v>-1.0621619161339131</v>
      </c>
      <c r="BP35" s="10">
        <v>1.2217489600209173</v>
      </c>
    </row>
    <row r="36" spans="1:68" x14ac:dyDescent="0.25">
      <c r="A36">
        <v>-5.4070757961122844</v>
      </c>
      <c r="B36">
        <v>3.1804046825027292</v>
      </c>
      <c r="C36">
        <v>-5.5899432676908681E-2</v>
      </c>
      <c r="D36">
        <v>-2.3966337783216276</v>
      </c>
      <c r="E36">
        <v>-7.5194198870866575</v>
      </c>
      <c r="F36">
        <v>4.59516909734407</v>
      </c>
      <c r="G36">
        <v>-0.50853907172845203</v>
      </c>
      <c r="H36">
        <v>-3.4643793679621244</v>
      </c>
      <c r="I36">
        <v>-7.9584628411125671</v>
      </c>
      <c r="J36">
        <v>4.6160268161123827</v>
      </c>
      <c r="K36">
        <v>8.0901971245752283E-2</v>
      </c>
      <c r="L36">
        <v>-4.2044392515892737</v>
      </c>
      <c r="N36">
        <v>-13.745681567405832</v>
      </c>
      <c r="O36">
        <v>7.8170238253286337</v>
      </c>
      <c r="P36">
        <v>0.52928840522171483</v>
      </c>
      <c r="Q36">
        <v>-7.6623439940530318</v>
      </c>
      <c r="AN36" s="18" cm="1">
        <f t="array" ref="AN36">AN32/MAX(ABS($AN$30:$AO$33))</f>
        <v>1.3472394217712203E-2</v>
      </c>
      <c r="AO36" s="18" cm="1">
        <f t="array" ref="AO36">AO32/MAX(ABS($AN$30:$AO$33))</f>
        <v>-0.72801739995919501</v>
      </c>
      <c r="BE36" s="9" t="s">
        <v>100</v>
      </c>
      <c r="BP36" s="10"/>
    </row>
    <row r="37" spans="1:68" x14ac:dyDescent="0.25">
      <c r="A37">
        <v>-0.71244444595184808</v>
      </c>
      <c r="B37">
        <v>-0.63344475412595813</v>
      </c>
      <c r="C37">
        <v>2.6257697523275771</v>
      </c>
      <c r="D37">
        <v>-2.0499463449125517</v>
      </c>
      <c r="E37">
        <v>6.3466291368932601E-2</v>
      </c>
      <c r="F37">
        <v>-0.50853907172845203</v>
      </c>
      <c r="G37">
        <v>1.1796335520185026</v>
      </c>
      <c r="H37">
        <v>-0.93167844177570946</v>
      </c>
      <c r="I37">
        <v>-5.3110357662278534E-2</v>
      </c>
      <c r="J37">
        <v>-0.33631551110785002</v>
      </c>
      <c r="K37">
        <v>0.91920470237586427</v>
      </c>
      <c r="L37">
        <v>-0.97222832631927592</v>
      </c>
      <c r="N37">
        <v>-2.0509276693175913</v>
      </c>
      <c r="O37">
        <v>0.52928840522171494</v>
      </c>
      <c r="P37">
        <v>1.6731032886820585</v>
      </c>
      <c r="Q37">
        <v>-2.7818860672601695</v>
      </c>
      <c r="AN37" s="18" cm="1">
        <f t="array" ref="AN37">AN33/MAX(ABS($AN$30:$AO$33))</f>
        <v>0.50821022750936773</v>
      </c>
      <c r="AO37" s="18" cm="1">
        <f t="array" ref="AO37">AO33/MAX(ABS($AN$30:$AO$33))</f>
        <v>0.69297766096555924</v>
      </c>
      <c r="BE37" s="9" t="s">
        <v>101</v>
      </c>
      <c r="BI37" t="s">
        <v>102</v>
      </c>
      <c r="BM37" t="s">
        <v>103</v>
      </c>
      <c r="BP37" s="10"/>
    </row>
    <row r="38" spans="1:68" x14ac:dyDescent="0.25">
      <c r="A38">
        <v>5.6110396492239323</v>
      </c>
      <c r="B38">
        <v>-2.0682497333207501</v>
      </c>
      <c r="C38">
        <v>-3.0245125135013704</v>
      </c>
      <c r="D38">
        <v>4.5171643055982793</v>
      </c>
      <c r="E38">
        <v>6.5689096569816332</v>
      </c>
      <c r="F38">
        <v>-3.464379367962124</v>
      </c>
      <c r="G38">
        <v>-0.93167844177570958</v>
      </c>
      <c r="H38">
        <v>4.1513735992790721</v>
      </c>
      <c r="I38">
        <v>7.0932660644428038</v>
      </c>
      <c r="J38">
        <v>-3.6844228133915697</v>
      </c>
      <c r="K38">
        <v>-1.1475608018678098</v>
      </c>
      <c r="L38">
        <v>4.8526701571483075</v>
      </c>
      <c r="N38">
        <v>15.022073824723902</v>
      </c>
      <c r="O38">
        <v>-7.6623439940530309</v>
      </c>
      <c r="P38">
        <v>-2.7818860672601695</v>
      </c>
      <c r="Q38">
        <v>10.638802220954711</v>
      </c>
      <c r="BE38" s="9" cm="1">
        <f t="array" ref="BE38:BH41">MMULT(_xlfn.ANCHORARRAY(BE22),$N$1:$Q$4)</f>
        <v>1.8078014150955799</v>
      </c>
      <c r="BF38">
        <v>-2.7656568568589797</v>
      </c>
      <c r="BG38">
        <v>-0.58750836512325921</v>
      </c>
      <c r="BH38">
        <v>2.7681090729594476E-4</v>
      </c>
      <c r="BI38" cm="1">
        <f t="array" ref="BI38:BL41">MMULT(_xlfn.ANCHORARRAY(BI22),$N$1:$Q$4)</f>
        <v>2.3964199988331276</v>
      </c>
      <c r="BJ38">
        <v>-4.4972703053098719</v>
      </c>
      <c r="BK38">
        <v>-0.22307191421423023</v>
      </c>
      <c r="BL38">
        <v>2.3118345591841984E-4</v>
      </c>
      <c r="BM38" cm="1">
        <f t="array" ref="BM38:BP41">MMULT(_xlfn.ANCHORARRAY(BM22),$N$1:$Q$4)</f>
        <v>2.5703532708461458</v>
      </c>
      <c r="BN38">
        <v>-4.7533553494547487</v>
      </c>
      <c r="BO38">
        <v>-0.34238101899011614</v>
      </c>
      <c r="BP38" s="10">
        <v>2.935394043679013E-4</v>
      </c>
    </row>
    <row r="39" spans="1:68" x14ac:dyDescent="0.25">
      <c r="A39" t="s">
        <v>95</v>
      </c>
      <c r="E39" t="s">
        <v>96</v>
      </c>
      <c r="I39" t="s">
        <v>93</v>
      </c>
      <c r="BE39" s="9">
        <v>-1.6150092379503771</v>
      </c>
      <c r="BF39">
        <v>2.6789944248582946</v>
      </c>
      <c r="BG39">
        <v>0.29096116503562774</v>
      </c>
      <c r="BH39">
        <v>-1.5576338244924031E-4</v>
      </c>
      <c r="BI39">
        <v>-2.2966232657851089</v>
      </c>
      <c r="BJ39">
        <v>4.4202311501760772</v>
      </c>
      <c r="BK39">
        <v>6.1509523699292308E-2</v>
      </c>
      <c r="BL39">
        <v>-1.5580756333780378E-4</v>
      </c>
      <c r="BM39">
        <v>-2.4553926403233239</v>
      </c>
      <c r="BN39">
        <v>4.5891756148830023</v>
      </c>
      <c r="BO39">
        <v>0.21222853540500775</v>
      </c>
      <c r="BP39" s="10">
        <v>-2.2238626874516721E-4</v>
      </c>
    </row>
    <row r="40" spans="1:68" x14ac:dyDescent="0.25">
      <c r="A40" cm="1">
        <f t="array" ref="A40:D43">MMULT(_xlfn.ANCHORARRAY(I24),_xlfn.ANCHORARRAY(A18))</f>
        <v>10.45432419885497</v>
      </c>
      <c r="B40">
        <v>-5.2742114327761662</v>
      </c>
      <c r="C40">
        <v>-2.0808637947344222</v>
      </c>
      <c r="D40">
        <v>6.0754021358773729</v>
      </c>
      <c r="E40" cm="1">
        <f t="array" ref="E40:H43">MMULT(_xlfn.ANCHORARRAY(I24),_xlfn.ANCHORARRAY(E18))</f>
        <v>13.66205526905444</v>
      </c>
      <c r="F40">
        <v>-7.9584628411125689</v>
      </c>
      <c r="G40">
        <v>-5.3110357662278534E-2</v>
      </c>
      <c r="H40">
        <v>7.0932660644428038</v>
      </c>
      <c r="I40" cm="1">
        <f t="array" ref="I40:L43">MMULT(_xlfn.ANCHORARRAY(I24),_xlfn.ANCHORARRAY(I18))</f>
        <v>14.559748711130979</v>
      </c>
      <c r="J40">
        <v>-8.1396762736402746</v>
      </c>
      <c r="K40">
        <v>-0.91171213825433062</v>
      </c>
      <c r="L40">
        <v>8.4767927539891801</v>
      </c>
      <c r="N40" cm="1">
        <f t="array" ref="N40:Q43">MMULT(_xlfn.ANCHORARRAY(N35),N9:Q12)</f>
        <v>13.528780562678946</v>
      </c>
      <c r="O40">
        <v>-9.7586109797737812</v>
      </c>
      <c r="P40">
        <v>-0.9207323601229398</v>
      </c>
      <c r="Q40">
        <v>0.16625138724216693</v>
      </c>
      <c r="BE40" s="9">
        <v>-0.85796208915392924</v>
      </c>
      <c r="BF40">
        <v>0.7276329452722714</v>
      </c>
      <c r="BG40">
        <v>0.936869504824694</v>
      </c>
      <c r="BH40">
        <v>-3.8913767169983661E-4</v>
      </c>
      <c r="BI40">
        <v>-0.70221440324685414</v>
      </c>
      <c r="BJ40">
        <v>1.007375311965931</v>
      </c>
      <c r="BK40">
        <v>0.49468694213886172</v>
      </c>
      <c r="BL40">
        <v>-2.5320898736998785E-4</v>
      </c>
      <c r="BM40">
        <v>-0.77555601299109422</v>
      </c>
      <c r="BN40">
        <v>1.2972280470787456</v>
      </c>
      <c r="BO40">
        <v>0.42844455176836022</v>
      </c>
      <c r="BP40" s="10">
        <v>-2.5286852581889543E-4</v>
      </c>
    </row>
    <row r="41" spans="1:68" x14ac:dyDescent="0.25">
      <c r="A41">
        <v>-5.6352828246516911</v>
      </c>
      <c r="B41">
        <v>3.1511086638560286</v>
      </c>
      <c r="C41">
        <v>0.35084888714161089</v>
      </c>
      <c r="D41">
        <v>-2.7672179106120809</v>
      </c>
      <c r="E41">
        <v>-7.6729804210794192</v>
      </c>
      <c r="F41">
        <v>4.6160268161123827</v>
      </c>
      <c r="G41">
        <v>-0.33631551110784991</v>
      </c>
      <c r="H41">
        <v>-3.6844228133915697</v>
      </c>
      <c r="I41">
        <v>-8.1396762736402746</v>
      </c>
      <c r="J41">
        <v>4.6640960242672014</v>
      </c>
      <c r="K41">
        <v>0.22547153630346467</v>
      </c>
      <c r="L41">
        <v>-4.4468639114985038</v>
      </c>
      <c r="N41">
        <v>-7.4572098314390054</v>
      </c>
      <c r="O41">
        <v>5.5496189226360713</v>
      </c>
      <c r="P41">
        <v>0.2376158700358495</v>
      </c>
      <c r="Q41">
        <v>-8.4800230207989671E-2</v>
      </c>
      <c r="BE41" s="9">
        <v>0.66516991200872899</v>
      </c>
      <c r="BF41">
        <v>-0.64097051327158971</v>
      </c>
      <c r="BG41">
        <v>-0.64032230473706331</v>
      </c>
      <c r="BH41">
        <v>2.6809014685313248E-4</v>
      </c>
      <c r="BI41">
        <v>0.60241767019883974</v>
      </c>
      <c r="BJ41">
        <v>-0.93033615683214255</v>
      </c>
      <c r="BK41">
        <v>-0.33312455162392407</v>
      </c>
      <c r="BL41">
        <v>1.7783309478937211E-4</v>
      </c>
      <c r="BM41">
        <v>0.66059538246827576</v>
      </c>
      <c r="BN41">
        <v>-1.1330483125070054</v>
      </c>
      <c r="BO41">
        <v>-0.29829206818325243</v>
      </c>
      <c r="BP41" s="10">
        <v>1.8171539019616178E-4</v>
      </c>
    </row>
    <row r="42" spans="1:68" x14ac:dyDescent="0.25">
      <c r="A42">
        <v>-1.1782336847419619</v>
      </c>
      <c r="B42">
        <v>-0.17657032753071875</v>
      </c>
      <c r="C42">
        <v>2.1633755697376986</v>
      </c>
      <c r="D42">
        <v>-1.9550545988978583</v>
      </c>
      <c r="E42">
        <v>-0.767510328294851</v>
      </c>
      <c r="F42">
        <v>8.090197124575231E-2</v>
      </c>
      <c r="G42">
        <v>0.91920470237586427</v>
      </c>
      <c r="H42">
        <v>-1.1475608018678096</v>
      </c>
      <c r="I42">
        <v>-0.91171213825433062</v>
      </c>
      <c r="J42">
        <v>0.22547153630346461</v>
      </c>
      <c r="K42">
        <v>0.76831960952954548</v>
      </c>
      <c r="L42">
        <v>-1.2617816797663772</v>
      </c>
      <c r="N42">
        <v>-1.1126547566380036</v>
      </c>
      <c r="O42">
        <v>0.37576308001425462</v>
      </c>
      <c r="P42">
        <v>0.75111392896183948</v>
      </c>
      <c r="Q42">
        <v>-3.0787521298854998E-2</v>
      </c>
      <c r="BE42" s="9" t="s">
        <v>104</v>
      </c>
      <c r="BI42" t="s">
        <v>105</v>
      </c>
      <c r="BM42" t="s">
        <v>106</v>
      </c>
      <c r="BP42" s="10"/>
    </row>
    <row r="43" spans="1:68" x14ac:dyDescent="0.25">
      <c r="A43">
        <v>6.6247182254647905</v>
      </c>
      <c r="B43">
        <v>-2.5497786518746661</v>
      </c>
      <c r="C43">
        <v>-3.301013025799306</v>
      </c>
      <c r="D43">
        <v>5.1554809526040897</v>
      </c>
      <c r="E43">
        <v>7.8637164945963098</v>
      </c>
      <c r="F43">
        <v>-4.2044392515892737</v>
      </c>
      <c r="G43">
        <v>-0.9722283263192758</v>
      </c>
      <c r="H43">
        <v>4.8526701571483075</v>
      </c>
      <c r="I43">
        <v>8.4767927539891801</v>
      </c>
      <c r="J43">
        <v>-4.4468639114985038</v>
      </c>
      <c r="K43">
        <v>-1.2617816797663772</v>
      </c>
      <c r="L43">
        <v>5.6865222721580517</v>
      </c>
      <c r="N43">
        <v>8.149669120807026</v>
      </c>
      <c r="O43">
        <v>-5.4398055028770305</v>
      </c>
      <c r="P43">
        <v>-1.2488848644544492</v>
      </c>
      <c r="Q43">
        <v>0.11774110874876328</v>
      </c>
      <c r="BE43" s="9" cm="1">
        <f t="array" ref="BE43:BH46">MMULT(_xlfn.ANCHORARRAY(BE27),$N$1:$Q$4)</f>
        <v>2.3964199988331276</v>
      </c>
      <c r="BF43">
        <v>-3.9329012697793706</v>
      </c>
      <c r="BG43">
        <v>-0.48085671993316537</v>
      </c>
      <c r="BH43">
        <v>2.5069651956335286E-4</v>
      </c>
      <c r="BI43" cm="1">
        <f t="array" ref="BI43:BL46">MMULT(_xlfn.ANCHORARRAY(BI27),$N$1:$Q$4)</f>
        <v>3.3793374135022365</v>
      </c>
      <c r="BJ43">
        <v>-6.4819433912271549</v>
      </c>
      <c r="BK43">
        <v>-0.12181436854736395</v>
      </c>
      <c r="BL43">
        <v>2.4290424761432258E-4</v>
      </c>
      <c r="BM43" cm="1">
        <f t="array" ref="BM43:BP46">MMULT(_xlfn.ANCHORARRAY(BM27),$N$1:$Q$4)</f>
        <v>3.6146427954432085</v>
      </c>
      <c r="BN43">
        <v>-6.7451779643202512</v>
      </c>
      <c r="BO43">
        <v>-0.33793628017676236</v>
      </c>
      <c r="BP43" s="10">
        <v>3.4029280114313416E-4</v>
      </c>
    </row>
    <row r="44" spans="1:68" x14ac:dyDescent="0.25">
      <c r="A44" t="s">
        <v>100</v>
      </c>
      <c r="BE44" s="9">
        <v>-2.6261873632740769</v>
      </c>
      <c r="BF44">
        <v>4.4202311501760772</v>
      </c>
      <c r="BG44">
        <v>0.40282273679631031</v>
      </c>
      <c r="BH44">
        <v>-2.2608264124873983E-4</v>
      </c>
      <c r="BI44">
        <v>-3.7851400222486209</v>
      </c>
      <c r="BJ44">
        <v>7.3155167289363687</v>
      </c>
      <c r="BK44">
        <v>6.0034666410084342E-2</v>
      </c>
      <c r="BL44">
        <v>-2.390524980649574E-4</v>
      </c>
      <c r="BM44">
        <v>-4.0447138463929777</v>
      </c>
      <c r="BN44">
        <v>7.572238555434228</v>
      </c>
      <c r="BO44">
        <v>0.31993778127273159</v>
      </c>
      <c r="BP44" s="10">
        <v>-3.5136583014548569E-4</v>
      </c>
    </row>
    <row r="45" spans="1:68" x14ac:dyDescent="0.25">
      <c r="A45" t="s">
        <v>101</v>
      </c>
      <c r="E45" t="s">
        <v>102</v>
      </c>
      <c r="I45" t="s">
        <v>103</v>
      </c>
      <c r="BE45" s="9">
        <v>-0.32576088599292369</v>
      </c>
      <c r="BF45">
        <v>0.15382243842105281</v>
      </c>
      <c r="BG45">
        <v>0.49468694213886172</v>
      </c>
      <c r="BH45">
        <v>-2.0244697310398488E-4</v>
      </c>
      <c r="BI45">
        <v>-0.17789042051501078</v>
      </c>
      <c r="BJ45">
        <v>0.15013412918201308</v>
      </c>
      <c r="BK45">
        <v>0.27114267810630227</v>
      </c>
      <c r="BL45">
        <v>-1.2723439493832566E-4</v>
      </c>
      <c r="BM45">
        <v>-0.20411270931717718</v>
      </c>
      <c r="BN45">
        <v>0.29572165881835211</v>
      </c>
      <c r="BO45">
        <v>0.22134793094098906</v>
      </c>
      <c r="BP45" s="10">
        <v>-1.2144011427394915E-4</v>
      </c>
    </row>
    <row r="46" spans="1:68" x14ac:dyDescent="0.25">
      <c r="A46" cm="1">
        <f t="array" ref="A46:D49">MMULT(_xlfn.ANCHORARRAY(A30),$N$1:$Q$4)</f>
        <v>2.3227993267633416</v>
      </c>
      <c r="B46">
        <v>-1.7206503625647578</v>
      </c>
      <c r="C46">
        <v>-0.60282527042512435</v>
      </c>
      <c r="D46">
        <v>6.7630622653720414E-4</v>
      </c>
      <c r="E46" cm="1">
        <f t="array" ref="E46:H49">MMULT(_xlfn.ANCHORARRAY(E30),$N$1:$Q$4)</f>
        <v>2.8681476704528146</v>
      </c>
      <c r="F46">
        <v>-2.7252472551469427</v>
      </c>
      <c r="G46">
        <v>-0.14358766429443551</v>
      </c>
      <c r="H46">
        <v>6.8724898856276908E-4</v>
      </c>
      <c r="I46" cm="1">
        <f t="array" ref="I46:L49">MMULT(_xlfn.ANCHORARRAY(I30),$N$1:$Q$4)</f>
        <v>3.0769194930042487</v>
      </c>
      <c r="J46">
        <v>-2.8402670184318262</v>
      </c>
      <c r="K46">
        <v>-0.23746388051224826</v>
      </c>
      <c r="L46">
        <v>8.1140593982324219E-4</v>
      </c>
      <c r="BE46" s="9">
        <v>0.55552825043387322</v>
      </c>
      <c r="BF46">
        <v>-0.64115231881775869</v>
      </c>
      <c r="BG46">
        <v>-0.41665295900200722</v>
      </c>
      <c r="BH46">
        <v>1.7783309478937211E-4</v>
      </c>
      <c r="BI46">
        <v>0.5836930292613961</v>
      </c>
      <c r="BJ46">
        <v>-0.98370746689122623</v>
      </c>
      <c r="BK46">
        <v>-0.20936297596902292</v>
      </c>
      <c r="BL46">
        <v>1.233826453889607E-4</v>
      </c>
      <c r="BM46">
        <v>0.63418376026694689</v>
      </c>
      <c r="BN46">
        <v>-1.1227822499323303</v>
      </c>
      <c r="BO46">
        <v>-0.20334943203695871</v>
      </c>
      <c r="BP46" s="10">
        <v>1.3251314327630085E-4</v>
      </c>
    </row>
    <row r="47" spans="1:68" x14ac:dyDescent="0.25">
      <c r="A47">
        <v>-1.0047762157958999</v>
      </c>
      <c r="B47">
        <v>1.1449947695481435</v>
      </c>
      <c r="C47">
        <v>-0.14008643925592723</v>
      </c>
      <c r="D47">
        <v>-1.3211449631449063E-4</v>
      </c>
      <c r="E47">
        <v>-1.4750524250341459</v>
      </c>
      <c r="F47">
        <v>1.6029716353299399</v>
      </c>
      <c r="G47">
        <v>-0.12766588780545657</v>
      </c>
      <c r="H47">
        <v>-2.5332249033679487E-4</v>
      </c>
      <c r="I47">
        <v>-1.5523073188711989</v>
      </c>
      <c r="J47">
        <v>1.5882060027747131</v>
      </c>
      <c r="K47">
        <v>-3.5586382991541932E-2</v>
      </c>
      <c r="L47">
        <v>-3.1230091197130853E-4</v>
      </c>
      <c r="BE47" s="9" t="s">
        <v>107</v>
      </c>
      <c r="BI47" t="s">
        <v>108</v>
      </c>
      <c r="BM47" t="s">
        <v>109</v>
      </c>
      <c r="BP47" s="10"/>
    </row>
    <row r="48" spans="1:68" x14ac:dyDescent="0.25">
      <c r="A48">
        <v>-0.88032998185517453</v>
      </c>
      <c r="B48">
        <v>-0.35032684989426027</v>
      </c>
      <c r="C48">
        <v>1.2313145264439085</v>
      </c>
      <c r="D48">
        <v>-6.5769469447384281E-4</v>
      </c>
      <c r="E48">
        <v>-0.50065897300261319</v>
      </c>
      <c r="F48">
        <v>-2.8174152020681822E-2</v>
      </c>
      <c r="G48">
        <v>0.5292035720876086</v>
      </c>
      <c r="H48">
        <v>-3.7044706431307205E-4</v>
      </c>
      <c r="I48">
        <v>-0.61244038835206571</v>
      </c>
      <c r="J48">
        <v>0.17683309846359307</v>
      </c>
      <c r="K48">
        <v>0.43601160317175747</v>
      </c>
      <c r="L48">
        <v>-4.043132832837625E-4</v>
      </c>
      <c r="BE48" s="9" cm="1">
        <f t="array" ref="BE48:BH51">MMULT(_xlfn.ANCHORARRAY(BE32),$N$1:$Q$4)</f>
        <v>2.5703532708461463</v>
      </c>
      <c r="BF48">
        <v>-4.204789255948473</v>
      </c>
      <c r="BG48">
        <v>-0.53107899639626444</v>
      </c>
      <c r="BH48">
        <v>2.7490721374384024E-4</v>
      </c>
      <c r="BI48" cm="1">
        <f t="array" ref="BI48:BL51">MMULT(_xlfn.ANCHORARRAY(BI32),$N$1:$Q$4)</f>
        <v>3.614642795443209</v>
      </c>
      <c r="BJ48">
        <v>-6.9264560972455014</v>
      </c>
      <c r="BK48">
        <v>-0.13977065614876955</v>
      </c>
      <c r="BL48">
        <v>2.6391599935979027E-4</v>
      </c>
      <c r="BM48" cm="1">
        <f t="array" ref="BM48:BP51">MMULT(_xlfn.ANCHORARRAY(BM32),$N$1:$Q$4)</f>
        <v>3.8668288412658609</v>
      </c>
      <c r="BN48">
        <v>-7.2127147191891776</v>
      </c>
      <c r="BO48">
        <v>-0.3687851615598583</v>
      </c>
      <c r="BP48" s="10">
        <v>3.6770987546486697E-4</v>
      </c>
    </row>
    <row r="49" spans="1:68" x14ac:dyDescent="0.25">
      <c r="A49">
        <v>1.6251474972254396</v>
      </c>
      <c r="B49">
        <v>-0.54365470999522203</v>
      </c>
      <c r="C49">
        <v>-1.0822303087213712</v>
      </c>
      <c r="D49">
        <v>7.3752149115253866E-4</v>
      </c>
      <c r="E49">
        <v>1.620536901984976</v>
      </c>
      <c r="F49">
        <v>-1.2079393506300735</v>
      </c>
      <c r="G49">
        <v>-0.41315082076561316</v>
      </c>
      <c r="H49">
        <v>5.5326941070958841E-4</v>
      </c>
      <c r="I49">
        <v>1.7881139807935342</v>
      </c>
      <c r="J49">
        <v>-1.3947193084867247</v>
      </c>
      <c r="K49">
        <v>-0.39402612374749441</v>
      </c>
      <c r="L49">
        <v>6.3145144068298131E-4</v>
      </c>
      <c r="BE49" s="9">
        <v>-2.7757285874390365</v>
      </c>
      <c r="BF49">
        <v>4.5891756148830032</v>
      </c>
      <c r="BG49">
        <v>0.51872717741455399</v>
      </c>
      <c r="BH49">
        <v>-2.753440821071194E-4</v>
      </c>
      <c r="BI49">
        <v>-3.9388562239671883</v>
      </c>
      <c r="BJ49">
        <v>7.5722385554342289</v>
      </c>
      <c r="BK49">
        <v>0.11825126794370162</v>
      </c>
      <c r="BL49">
        <v>-2.7284930801383842E-4</v>
      </c>
      <c r="BM49">
        <v>-4.211874974041705</v>
      </c>
      <c r="BN49">
        <v>7.8673595524124655</v>
      </c>
      <c r="BO49">
        <v>0.37545145530526913</v>
      </c>
      <c r="BP49" s="10">
        <v>-3.8725634837461333E-4</v>
      </c>
    </row>
    <row r="50" spans="1:68" x14ac:dyDescent="0.25">
      <c r="A50" t="s">
        <v>104</v>
      </c>
      <c r="E50" t="s">
        <v>105</v>
      </c>
      <c r="I50" t="s">
        <v>106</v>
      </c>
      <c r="BE50" s="9">
        <v>-0.49999276908641532</v>
      </c>
      <c r="BF50">
        <v>0.53073912550720403</v>
      </c>
      <c r="BG50">
        <v>0.42844455176836022</v>
      </c>
      <c r="BH50">
        <v>-1.8127852183288311E-4</v>
      </c>
      <c r="BI50">
        <v>-0.49350193827543865</v>
      </c>
      <c r="BJ50">
        <v>0.80009739465693908</v>
      </c>
      <c r="BK50">
        <v>0.22134793094098901</v>
      </c>
      <c r="BL50">
        <v>-1.2357983462225316E-4</v>
      </c>
      <c r="BM50">
        <v>-0.53855180018497917</v>
      </c>
      <c r="BN50">
        <v>0.9389254686173728</v>
      </c>
      <c r="BO50">
        <v>0.20740422011256229</v>
      </c>
      <c r="BP50" s="10">
        <v>-1.3009526722091282E-4</v>
      </c>
    </row>
    <row r="51" spans="1:68" x14ac:dyDescent="0.25">
      <c r="A51" cm="1">
        <f t="array" ref="A51:D54">MMULT(_xlfn.ANCHORARRAY(A35),$N$1:$Q$4)</f>
        <v>2.8681476704528146</v>
      </c>
      <c r="B51">
        <v>-2.5259848412381039</v>
      </c>
      <c r="C51">
        <v>-0.34283721673893514</v>
      </c>
      <c r="D51">
        <v>6.7438752421972734E-4</v>
      </c>
      <c r="E51" cm="1">
        <f t="array" ref="E51:H54">MMULT(_xlfn.ANCHORARRAY(E35),$N$1:$Q$4)</f>
        <v>3.7763046314927458</v>
      </c>
      <c r="F51">
        <v>-3.7899003417548354</v>
      </c>
      <c r="G51">
        <v>1.2791139843780944E-2</v>
      </c>
      <c r="H51">
        <v>8.0457041830834955E-4</v>
      </c>
      <c r="I51" cm="1">
        <f t="array" ref="I51:L54">MMULT(_xlfn.ANCHORARRAY(I35),$N$1:$Q$4)</f>
        <v>4.0210197591212262</v>
      </c>
      <c r="J51">
        <v>-3.8672971528118523</v>
      </c>
      <c r="K51">
        <v>-0.15468576671192333</v>
      </c>
      <c r="L51">
        <v>9.6316040254735245E-4</v>
      </c>
      <c r="BE51" s="9">
        <v>0.70536808567930331</v>
      </c>
      <c r="BF51">
        <v>-0.91512548444173025</v>
      </c>
      <c r="BG51">
        <v>-0.41609273278664877</v>
      </c>
      <c r="BH51">
        <v>1.8171539019616178E-4</v>
      </c>
      <c r="BI51">
        <v>0.81771536679941559</v>
      </c>
      <c r="BJ51">
        <v>-1.4458798528456622</v>
      </c>
      <c r="BK51">
        <v>-0.19982854273592066</v>
      </c>
      <c r="BL51">
        <v>1.3251314327630088E-4</v>
      </c>
      <c r="BM51">
        <v>0.88359793296082123</v>
      </c>
      <c r="BN51">
        <v>-1.5935703018406562</v>
      </c>
      <c r="BO51">
        <v>-0.21407051385797254</v>
      </c>
      <c r="BP51" s="10">
        <v>1.4964174013065877E-4</v>
      </c>
    </row>
    <row r="52" spans="1:68" x14ac:dyDescent="0.25">
      <c r="A52">
        <v>-1.5914119938074593</v>
      </c>
      <c r="B52">
        <v>1.6029716353299401</v>
      </c>
      <c r="C52">
        <v>-1.1266098036230387E-2</v>
      </c>
      <c r="D52">
        <v>-2.9354348624763613E-4</v>
      </c>
      <c r="E52">
        <v>-2.2131176713646239</v>
      </c>
      <c r="F52">
        <v>2.3160341082100353</v>
      </c>
      <c r="G52">
        <v>-0.10249211419480139</v>
      </c>
      <c r="H52">
        <v>-4.2432265060878666E-4</v>
      </c>
      <c r="I52">
        <v>-2.3423369109646783</v>
      </c>
      <c r="J52">
        <v>2.3265467111335676</v>
      </c>
      <c r="K52">
        <v>1.6305166183832216E-2</v>
      </c>
      <c r="L52">
        <v>-5.1496635272003162E-4</v>
      </c>
      <c r="BE52" s="9" t="s">
        <v>98</v>
      </c>
      <c r="BP52" s="10"/>
    </row>
    <row r="53" spans="1:68" x14ac:dyDescent="0.25">
      <c r="A53">
        <v>-0.20968683979323613</v>
      </c>
      <c r="B53">
        <v>-0.31926565163192483</v>
      </c>
      <c r="C53">
        <v>0.5292035720876086</v>
      </c>
      <c r="D53">
        <v>-2.5108066244799255E-4</v>
      </c>
      <c r="E53">
        <v>1.8679415842407541E-2</v>
      </c>
      <c r="F53">
        <v>-0.25631131532489398</v>
      </c>
      <c r="G53">
        <v>0.23774601292790931</v>
      </c>
      <c r="H53">
        <v>-1.1411344542265939E-4</v>
      </c>
      <c r="I53">
        <v>-1.5631454665370994E-2</v>
      </c>
      <c r="J53">
        <v>-0.16950805908232477</v>
      </c>
      <c r="K53">
        <v>0.18525859380695159</v>
      </c>
      <c r="L53">
        <v>-1.1908005925558028E-4</v>
      </c>
      <c r="BE53" s="9">
        <f>SUMPRODUCT(_xlfn.ANCHORARRAY(BE38),_xlfn.MUNIT(4))</f>
        <v>5.4239334349254209</v>
      </c>
      <c r="BI53">
        <f>SUMPRODUCT(_xlfn.ANCHORARRAY(BI38),_xlfn.MUNIT(4))</f>
        <v>7.3115159242428565</v>
      </c>
      <c r="BM53">
        <f>SUMPRODUCT(_xlfn.ANCHORARRAY(BM38),_xlfn.MUNIT(4))</f>
        <v>7.5881551528877056</v>
      </c>
      <c r="BP53" s="10"/>
    </row>
    <row r="54" spans="1:68" x14ac:dyDescent="0.25">
      <c r="A54">
        <v>1.6514426895817707</v>
      </c>
      <c r="B54">
        <v>-1.0424288693610393</v>
      </c>
      <c r="C54">
        <v>-0.60956708963144324</v>
      </c>
      <c r="D54">
        <v>5.5326941070958841E-4</v>
      </c>
      <c r="E54">
        <v>1.9333632463363248</v>
      </c>
      <c r="F54">
        <v>-1.746099133678654</v>
      </c>
      <c r="G54">
        <v>-0.18777257944557682</v>
      </c>
      <c r="H54">
        <v>5.084667879053981E-4</v>
      </c>
      <c r="I54">
        <v>2.08769196435864</v>
      </c>
      <c r="J54">
        <v>-1.8570043287012281</v>
      </c>
      <c r="K54">
        <v>-0.23128199835413549</v>
      </c>
      <c r="L54">
        <v>5.9436269672237551E-4</v>
      </c>
      <c r="BE54" s="9"/>
      <c r="BP54" s="10"/>
    </row>
    <row r="55" spans="1:68" x14ac:dyDescent="0.25">
      <c r="A55" t="s">
        <v>107</v>
      </c>
      <c r="E55" t="s">
        <v>108</v>
      </c>
      <c r="I55" t="s">
        <v>109</v>
      </c>
      <c r="BE55" s="9"/>
      <c r="BP55" s="10"/>
    </row>
    <row r="56" spans="1:68" x14ac:dyDescent="0.25">
      <c r="A56" cm="1">
        <f t="array" ref="A56:D59">MMULT(_xlfn.ANCHORARRAY(A40),$N$1:$Q$4)</f>
        <v>3.0769194930042492</v>
      </c>
      <c r="B56">
        <v>-2.6582816243435152</v>
      </c>
      <c r="C56">
        <v>-0.41938199349927335</v>
      </c>
      <c r="D56">
        <v>7.4412483853527982E-4</v>
      </c>
      <c r="E56" cm="1">
        <f t="array" ref="E56:H59">MMULT(_xlfn.ANCHORARRAY(E40),$N$1:$Q$4)</f>
        <v>4.0210197591212262</v>
      </c>
      <c r="F56">
        <v>-4.0111845719871937</v>
      </c>
      <c r="G56">
        <v>-1.0703981552386286E-2</v>
      </c>
      <c r="H56">
        <v>8.6879441835153916E-4</v>
      </c>
      <c r="I56" cm="1">
        <f t="array" ref="I56:L59">MMULT(_xlfn.ANCHORARRAY(I40),$N$1:$Q$4)</f>
        <v>4.2852291329772534</v>
      </c>
      <c r="J56">
        <v>-4.1025188584321821</v>
      </c>
      <c r="K56">
        <v>-0.18374852549509893</v>
      </c>
      <c r="L56">
        <v>1.0382509500251041E-3</v>
      </c>
      <c r="BE56" s="9"/>
      <c r="BP56" s="10"/>
    </row>
    <row r="57" spans="1:68" x14ac:dyDescent="0.25">
      <c r="A57">
        <v>-1.658577947454696</v>
      </c>
      <c r="B57">
        <v>1.5882060027747134</v>
      </c>
      <c r="C57">
        <v>7.0710877895412458E-2</v>
      </c>
      <c r="D57">
        <v>-3.3893321542719217E-4</v>
      </c>
      <c r="E57">
        <v>-2.2583136487813391</v>
      </c>
      <c r="F57">
        <v>2.3265467111335676</v>
      </c>
      <c r="G57">
        <v>-6.7781788433268625E-2</v>
      </c>
      <c r="H57">
        <v>-4.512739189592374E-4</v>
      </c>
      <c r="I57">
        <v>-2.3956716968707616</v>
      </c>
      <c r="J57">
        <v>2.3507743126173857</v>
      </c>
      <c r="K57">
        <v>4.544204316090722E-2</v>
      </c>
      <c r="L57">
        <v>-5.4465890752996519E-4</v>
      </c>
      <c r="BE57" s="9"/>
      <c r="BP57" s="10"/>
    </row>
    <row r="58" spans="1:68" x14ac:dyDescent="0.25">
      <c r="A58">
        <v>-0.34677805307528503</v>
      </c>
      <c r="B58">
        <v>-8.8994091924783372E-2</v>
      </c>
      <c r="C58">
        <v>0.43601160317175747</v>
      </c>
      <c r="D58">
        <v>-2.3945817168898086E-4</v>
      </c>
      <c r="E58">
        <v>-0.22589384500541632</v>
      </c>
      <c r="F58">
        <v>4.0775806255941169E-2</v>
      </c>
      <c r="G58">
        <v>0.18525859380695159</v>
      </c>
      <c r="H58">
        <v>-1.4055505747620457E-4</v>
      </c>
      <c r="I58">
        <v>-0.26833536026275012</v>
      </c>
      <c r="J58">
        <v>0.11364103419200915</v>
      </c>
      <c r="K58">
        <v>0.15484887108154452</v>
      </c>
      <c r="L58">
        <v>-1.5454501080319617E-4</v>
      </c>
      <c r="BE58" s="9">
        <f>SUMPRODUCT(_xlfn.ANCHORARRAY(BE43),_xlfn.MUNIT(4))</f>
        <v>7.3115159242428565</v>
      </c>
      <c r="BI58">
        <f>SUMPRODUCT(_xlfn.ANCHORARRAY(BI43),_xlfn.MUNIT(4))</f>
        <v>10.966120203190297</v>
      </c>
      <c r="BM58">
        <f>SUMPRODUCT(_xlfn.ANCHORARRAY(BM43),_xlfn.MUNIT(4))</f>
        <v>11.408361794961703</v>
      </c>
      <c r="BP58" s="10"/>
    </row>
    <row r="59" spans="1:68" x14ac:dyDescent="0.25">
      <c r="A59">
        <v>1.9497888391318206</v>
      </c>
      <c r="B59">
        <v>-1.2851266625945788</v>
      </c>
      <c r="C59">
        <v>-0.66529362797792746</v>
      </c>
      <c r="D59">
        <v>6.3145144068298131E-4</v>
      </c>
      <c r="E59">
        <v>2.3144511409290853</v>
      </c>
      <c r="F59">
        <v>-2.1191004087762546</v>
      </c>
      <c r="G59">
        <v>-0.19594509484955433</v>
      </c>
      <c r="H59">
        <v>5.9436269672237551E-4</v>
      </c>
      <c r="I59">
        <v>2.494891909489779</v>
      </c>
      <c r="J59">
        <v>-2.2412860713986618</v>
      </c>
      <c r="K59">
        <v>-0.25430233231042498</v>
      </c>
      <c r="L59">
        <v>6.9649421930582998E-4</v>
      </c>
      <c r="BE59" s="9"/>
      <c r="BP59" s="10"/>
    </row>
    <row r="60" spans="1:68" x14ac:dyDescent="0.25">
      <c r="A60" t="s">
        <v>114</v>
      </c>
      <c r="BE60" s="9"/>
      <c r="BP60" s="10"/>
    </row>
    <row r="61" spans="1:68" x14ac:dyDescent="0.25">
      <c r="A61">
        <f>SUMPRODUCT(_xlfn.ANCHORARRAY(A46),_xlfn.MUNIT(4))</f>
        <v>4.6998461442465462</v>
      </c>
      <c r="E61">
        <f>SUMPRODUCT(_xlfn.ANCHORARRAY(E46),_xlfn.MUNIT(4))</f>
        <v>5.0008761472810725</v>
      </c>
      <c r="I61">
        <f>SUMPRODUCT(_xlfn.ANCHORARRAY(I46),_xlfn.MUNIT(4))</f>
        <v>5.1017685503914025</v>
      </c>
      <c r="BE61" s="9"/>
      <c r="BP61" s="10"/>
    </row>
    <row r="62" spans="1:68" x14ac:dyDescent="0.25">
      <c r="BE62" s="9"/>
      <c r="BP62" s="10"/>
    </row>
    <row r="63" spans="1:68" x14ac:dyDescent="0.25">
      <c r="BE63" s="9">
        <f>SUMPRODUCT(_xlfn.ANCHORARRAY(BE48),_xlfn.MUNIT(4))</f>
        <v>7.5881551528877065</v>
      </c>
      <c r="BI63">
        <f>SUMPRODUCT(_xlfn.ANCHORARRAY(BI48),_xlfn.MUNIT(4))</f>
        <v>11.408361794961705</v>
      </c>
      <c r="BM63">
        <f>SUMPRODUCT(_xlfn.ANCHORARRAY(BM48),_xlfn.MUNIT(4))</f>
        <v>11.941742255531018</v>
      </c>
      <c r="BP63" s="10"/>
    </row>
    <row r="64" spans="1:68" x14ac:dyDescent="0.25">
      <c r="BE64" s="9" t="s">
        <v>99</v>
      </c>
      <c r="BP64" s="10"/>
    </row>
    <row r="65" spans="1:68" x14ac:dyDescent="0.25">
      <c r="BE65" s="9">
        <f>BE53/(SQRT(SUMPRODUCT(_xlfn.ANCHORARRAY(BE38),_xlfn.MUNIT(4)))*SQRT(SUMPRODUCT(_xlfn.ANCHORARRAY(BE38),_xlfn.MUNIT(4))))</f>
        <v>1.0000000000000002</v>
      </c>
      <c r="BI65">
        <f>BI53/(SQRT(SUMPRODUCT(_xlfn.ANCHORARRAY(BE38),_xlfn.MUNIT(4)))*SQRT(SUMPRODUCT(_xlfn.ANCHORARRAY(BI43),_xlfn.MUNIT(4))))</f>
        <v>0.94803365219272517</v>
      </c>
      <c r="BM65">
        <f>BM53/(SQRT(SUMPRODUCT(_xlfn.ANCHORARRAY(BE38),_xlfn.MUNIT(4)))*SQRT(SUMPRODUCT(_xlfn.ANCHORARRAY(BM48),_xlfn.MUNIT(4))))</f>
        <v>0.94285558947372838</v>
      </c>
      <c r="BP65" s="10"/>
    </row>
    <row r="66" spans="1:68" x14ac:dyDescent="0.25">
      <c r="A66">
        <f>SUMPRODUCT(_xlfn.ANCHORARRAY(A51),_xlfn.MUNIT(4))</f>
        <v>5.0008761472810725</v>
      </c>
      <c r="E66">
        <f>SUMPRODUCT(_xlfn.ANCHORARRAY(E51),_xlfn.MUNIT(4))</f>
        <v>6.3305932194185948</v>
      </c>
      <c r="I66">
        <f>SUMPRODUCT(_xlfn.ANCHORARRAY(I51),_xlfn.MUNIT(4))</f>
        <v>6.5334194267584671</v>
      </c>
      <c r="BE66" s="9"/>
      <c r="BP66" s="10"/>
    </row>
    <row r="67" spans="1:68" x14ac:dyDescent="0.25">
      <c r="BE67" s="9"/>
      <c r="BP67" s="10"/>
    </row>
    <row r="68" spans="1:68" x14ac:dyDescent="0.25">
      <c r="BE68" s="9"/>
      <c r="BP68" s="10"/>
    </row>
    <row r="69" spans="1:68" x14ac:dyDescent="0.25">
      <c r="BE69" s="9"/>
      <c r="BP69" s="10"/>
    </row>
    <row r="70" spans="1:68" x14ac:dyDescent="0.25">
      <c r="BE70" s="9">
        <f>BE58/(SQRT(SUMPRODUCT(_xlfn.ANCHORARRAY(BI43),_xlfn.MUNIT(4)))*SQRT(SUMPRODUCT(_xlfn.ANCHORARRAY(BE38),_xlfn.MUNIT(4))))</f>
        <v>0.94803365219272517</v>
      </c>
      <c r="BI70">
        <f>BI58/(SQRT(SUMPRODUCT(_xlfn.ANCHORARRAY(BI43),_xlfn.MUNIT(4)))*SQRT(SUMPRODUCT(_xlfn.ANCHORARRAY(BI43),_xlfn.MUNIT(4))))</f>
        <v>1.0000000000000002</v>
      </c>
      <c r="BM70">
        <f>BM58/(SQRT(SUMPRODUCT(_xlfn.ANCHORARRAY(BI43),_xlfn.MUNIT(4)))*SQRT(SUMPRODUCT(_xlfn.ANCHORARRAY(BM48),_xlfn.MUNIT(4))))</f>
        <v>0.99692603503181465</v>
      </c>
      <c r="BP70" s="10"/>
    </row>
    <row r="71" spans="1:68" x14ac:dyDescent="0.25">
      <c r="A71">
        <f>SUMPRODUCT(_xlfn.ANCHORARRAY(A56),_xlfn.MUNIT(4))</f>
        <v>5.1017685503914034</v>
      </c>
      <c r="E71">
        <f>SUMPRODUCT(_xlfn.ANCHORARRAY(E56),_xlfn.MUNIT(4))</f>
        <v>6.5334194267584671</v>
      </c>
      <c r="I71">
        <f>SUMPRODUCT(_xlfn.ANCHORARRAY(I56),_xlfn.MUNIT(4))</f>
        <v>6.7915488108954891</v>
      </c>
      <c r="BE71" s="9"/>
      <c r="BP71" s="10"/>
    </row>
    <row r="72" spans="1:68" x14ac:dyDescent="0.25">
      <c r="A72" t="s">
        <v>113</v>
      </c>
      <c r="BE72" s="9"/>
      <c r="BP72" s="10"/>
    </row>
    <row r="73" spans="1:68" x14ac:dyDescent="0.25">
      <c r="A73">
        <f>A61/(SQRT(SUMPRODUCT(_xlfn.ANCHORARRAY(A46),_xlfn.MUNIT(4)))*SQRT(SUMPRODUCT(_xlfn.ANCHORARRAY(A46),_xlfn.MUNIT(4))))</f>
        <v>1.0000000000000002</v>
      </c>
      <c r="E73">
        <f>E61/(SQRT(SUMPRODUCT(_xlfn.ANCHORARRAY(A46),_xlfn.MUNIT(4)))*SQRT(SUMPRODUCT(_xlfn.ANCHORARRAY(E51),_xlfn.MUNIT(4))))</f>
        <v>0.91681576858937086</v>
      </c>
      <c r="I73">
        <f>I61/(SQRT(SUMPRODUCT(_xlfn.ANCHORARRAY(A46),_xlfn.MUNIT(4)))*SQRT(SUMPRODUCT(_xlfn.ANCHORARRAY(I56),_xlfn.MUNIT(4))))</f>
        <v>0.90301407305509662</v>
      </c>
      <c r="BE73" s="9"/>
      <c r="BP73" s="10"/>
    </row>
    <row r="74" spans="1:68" x14ac:dyDescent="0.25">
      <c r="BE74" s="9"/>
      <c r="BP74" s="10"/>
    </row>
    <row r="75" spans="1:68" x14ac:dyDescent="0.25">
      <c r="BE75" s="11">
        <f>BE63/(SQRT(SUMPRODUCT(_xlfn.ANCHORARRAY(BM48),_xlfn.MUNIT(4)))*SQRT(SUMPRODUCT(_xlfn.ANCHORARRAY(BE38),_xlfn.MUNIT(4))))</f>
        <v>0.94285558947372849</v>
      </c>
      <c r="BF75" s="12"/>
      <c r="BG75" s="12"/>
      <c r="BH75" s="12"/>
      <c r="BI75" s="12">
        <f>BI63/(SQRT(SUMPRODUCT(_xlfn.ANCHORARRAY(BM48),_xlfn.MUNIT(4)))*SQRT(SUMPRODUCT(_xlfn.ANCHORARRAY(BI43),_xlfn.MUNIT(4))))</f>
        <v>0.99692603503181476</v>
      </c>
      <c r="BJ75" s="12"/>
      <c r="BK75" s="12"/>
      <c r="BL75" s="12"/>
      <c r="BM75" s="12">
        <f>BM63/(SQRT(SUMPRODUCT(_xlfn.ANCHORARRAY(BM48),_xlfn.MUNIT(4)))*SQRT(SUMPRODUCT(_xlfn.ANCHORARRAY(BM48),_xlfn.MUNIT(4))))</f>
        <v>1</v>
      </c>
      <c r="BN75" s="12"/>
      <c r="BO75" s="12"/>
      <c r="BP75" s="13"/>
    </row>
    <row r="78" spans="1:68" x14ac:dyDescent="0.25">
      <c r="A78">
        <f>A66/(SQRT(SUMPRODUCT(_xlfn.ANCHORARRAY(E51),_xlfn.MUNIT(4)))*SQRT(SUMPRODUCT(_xlfn.ANCHORARRAY(A46),_xlfn.MUNIT(4))))</f>
        <v>0.91681576858937086</v>
      </c>
      <c r="E78">
        <f>E66/(SQRT(SUMPRODUCT(_xlfn.ANCHORARRAY(E51),_xlfn.MUNIT(4)))*SQRT(SUMPRODUCT(_xlfn.ANCHORARRAY(E51),_xlfn.MUNIT(4))))</f>
        <v>0.99999999999999989</v>
      </c>
      <c r="I78">
        <f>I66/(SQRT(SUMPRODUCT(_xlfn.ANCHORARRAY(E51),_xlfn.MUNIT(4)))*SQRT(SUMPRODUCT(_xlfn.ANCHORARRAY(I56),_xlfn.MUNIT(4))))</f>
        <v>0.99640046664270443</v>
      </c>
    </row>
    <row r="83" spans="1:22" x14ac:dyDescent="0.25">
      <c r="A83">
        <f>A71/(SQRT(SUMPRODUCT(_xlfn.ANCHORARRAY(I56),_xlfn.MUNIT(4)))*SQRT(SUMPRODUCT(_xlfn.ANCHORARRAY(A46),_xlfn.MUNIT(4))))</f>
        <v>0.90301407305509673</v>
      </c>
      <c r="E83">
        <f>E71/(SQRT(SUMPRODUCT(_xlfn.ANCHORARRAY(I56),_xlfn.MUNIT(4)))*SQRT(SUMPRODUCT(_xlfn.ANCHORARRAY(E51),_xlfn.MUNIT(4))))</f>
        <v>0.99640046664270443</v>
      </c>
      <c r="I83">
        <f>I71/(SQRT(SUMPRODUCT(_xlfn.ANCHORARRAY(I56),_xlfn.MUNIT(4)))*SQRT(SUMPRODUCT(_xlfn.ANCHORARRAY(I56),_xlfn.MUNIT(4))))</f>
        <v>1</v>
      </c>
    </row>
    <row r="86" spans="1:22" x14ac:dyDescent="0.25">
      <c r="A86" t="s">
        <v>79</v>
      </c>
    </row>
    <row r="87" spans="1:22" x14ac:dyDescent="0.25">
      <c r="A87">
        <v>-1.4790127066301544</v>
      </c>
      <c r="B87">
        <v>1.4697449029272016</v>
      </c>
      <c r="C87">
        <v>-2.7681235223310521E-2</v>
      </c>
      <c r="E87">
        <v>-1.5113087549245832</v>
      </c>
      <c r="F87">
        <v>1.4421464342045536</v>
      </c>
      <c r="G87">
        <v>-0.98956236245082141</v>
      </c>
      <c r="I87">
        <v>-1.5034222115657745</v>
      </c>
      <c r="J87">
        <v>1.45135521477833</v>
      </c>
      <c r="K87">
        <v>-1.1698614761101329</v>
      </c>
      <c r="V87">
        <v>1</v>
      </c>
    </row>
    <row r="88" spans="1:22" x14ac:dyDescent="0.25">
      <c r="A88">
        <v>0.39523545574314989</v>
      </c>
      <c r="B88">
        <v>-0.84996221012035955</v>
      </c>
      <c r="C88">
        <v>0.76402554578205428</v>
      </c>
      <c r="E88">
        <v>0.46804954686389366</v>
      </c>
      <c r="F88">
        <v>-0.87563163449960701</v>
      </c>
      <c r="G88">
        <v>0.99178638576260758</v>
      </c>
      <c r="I88">
        <v>0.44852824483223336</v>
      </c>
      <c r="J88">
        <v>-0.86770808655801979</v>
      </c>
      <c r="K88">
        <v>0.98117866422162847</v>
      </c>
      <c r="V88" cm="1">
        <f t="array" ref="V88">MAX(ABS(_xlfn.ANCHORARRAY(N18)))</f>
        <v>2.9116248291487659</v>
      </c>
    </row>
    <row r="89" spans="1:22" x14ac:dyDescent="0.25">
      <c r="A89">
        <v>1.172515630105323</v>
      </c>
      <c r="B89">
        <v>-2.0975969093958317E-2</v>
      </c>
      <c r="C89">
        <v>-1.8708735847514268</v>
      </c>
      <c r="E89">
        <v>1.0375818884162384</v>
      </c>
      <c r="F89">
        <v>8.3448945653838535E-2</v>
      </c>
      <c r="G89">
        <v>-1.0352857951019003</v>
      </c>
      <c r="I89">
        <v>1.0749988305005129</v>
      </c>
      <c r="J89">
        <v>5.0108507022226793E-2</v>
      </c>
      <c r="K89">
        <v>-0.74538955508466542</v>
      </c>
      <c r="V89" cm="1">
        <f t="array" ref="V89">MAX(ABS(_xlfn.ANCHORARRAY(M93)))</f>
        <v>0.99957362381448789</v>
      </c>
    </row>
    <row r="90" spans="1:22" x14ac:dyDescent="0.25">
      <c r="A90">
        <v>-1.7360166352499051</v>
      </c>
      <c r="B90">
        <v>0.37170172402380985</v>
      </c>
      <c r="C90">
        <v>1.0361747517526483</v>
      </c>
      <c r="E90">
        <v>-1.7291626560648243</v>
      </c>
      <c r="F90">
        <v>0.49033161602196723</v>
      </c>
      <c r="G90">
        <v>0.21956841209993813</v>
      </c>
      <c r="I90">
        <v>-1.9188711262721072</v>
      </c>
      <c r="J90">
        <v>0.61761342366344885</v>
      </c>
      <c r="K90">
        <v>0.10355428696626937</v>
      </c>
      <c r="M90" t="s">
        <v>169</v>
      </c>
      <c r="V90">
        <f>V88/V89</f>
        <v>2.9128668061864924</v>
      </c>
    </row>
    <row r="91" spans="1:22" x14ac:dyDescent="0.25">
      <c r="A91" t="s">
        <v>173</v>
      </c>
      <c r="M91" t="s">
        <v>152</v>
      </c>
      <c r="N91" t="s">
        <v>157</v>
      </c>
    </row>
    <row r="92" spans="1:22" x14ac:dyDescent="0.25">
      <c r="A92" t="s">
        <v>178</v>
      </c>
      <c r="E92" t="s">
        <v>179</v>
      </c>
      <c r="I92" t="s">
        <v>183</v>
      </c>
      <c r="M92" t="s">
        <v>170</v>
      </c>
      <c r="P92" t="s">
        <v>171</v>
      </c>
      <c r="S92" t="s">
        <v>172</v>
      </c>
    </row>
    <row r="93" spans="1:22" x14ac:dyDescent="0.25">
      <c r="A93" s="15" cm="1">
        <f t="array" ref="A93:C95">MMULT(MMULT(TRANSPOSE(A87:C90), $N$1:$Q$4), A87:C90)</f>
        <v>1.0000000000000002</v>
      </c>
      <c r="B93" s="15">
        <v>-0.8141372497034659</v>
      </c>
      <c r="C93" s="15">
        <v>-0.27808203787720759</v>
      </c>
      <c r="E93" s="15" cm="1">
        <f t="array" ref="E93:G95">MMULT(MMULT(TRANSPOSE(E87:G90), $N$1:$Q$4),E87:G90)</f>
        <v>0.99999999999999978</v>
      </c>
      <c r="F93" s="15">
        <v>-0.83069770249394836</v>
      </c>
      <c r="G93" s="15">
        <v>0.45759045975840906</v>
      </c>
      <c r="I93" s="15" cm="1">
        <f t="array" ref="I93:K95">MMULT(MMULT(TRANSPOSE(I87:K90),$N$1:$Q$4),I87:K90)</f>
        <v>1.0000000000000002</v>
      </c>
      <c r="J93" s="15">
        <v>-0.82765388007181118</v>
      </c>
      <c r="K93" s="15">
        <v>0.57794062265914825</v>
      </c>
      <c r="M93" s="14" cm="1">
        <f t="array" ref="M93:N95">MMULT(TRANSPOSE(A12:C15),MMULT(N1:Q4,MMULT(_xlfn.ANCHORARRAY(AK24),U7:V8)))</f>
        <v>0.83058351765189253</v>
      </c>
      <c r="N93" s="14">
        <v>0.55689334556477954</v>
      </c>
      <c r="P93" s="14" cm="1">
        <f t="array" ref="P93:Q95">MMULT(TRANSPOSE(E12:G15),MMULT(N1:Q4,MMULT(_xlfn.ANCHORARRAY(AK24),U7:V8)))</f>
        <v>0.87319005608168598</v>
      </c>
      <c r="Q93" s="14">
        <v>0.48737649302153463</v>
      </c>
      <c r="S93" s="14" cm="1">
        <f t="array" ref="S93:T95">MMULT(TRANSPOSE(I12:K15),MMULT(N1:Q4,MMULT(_xlfn.ANCHORARRAY(AK24),U7:V8)))</f>
        <v>0.8621424413588834</v>
      </c>
      <c r="T93" s="14">
        <v>0.50665295375324104</v>
      </c>
      <c r="V93">
        <f>M93*$V$90</f>
        <v>2.4193791583338102</v>
      </c>
    </row>
    <row r="94" spans="1:22" x14ac:dyDescent="0.25">
      <c r="A94" s="15">
        <v>-0.8141372497034659</v>
      </c>
      <c r="B94" s="15">
        <v>1.0000000000000002</v>
      </c>
      <c r="C94" s="15">
        <v>-0.33132158242198845</v>
      </c>
      <c r="E94" s="15">
        <v>-0.83069770249394836</v>
      </c>
      <c r="F94" s="15">
        <v>0.99999999999999989</v>
      </c>
      <c r="G94" s="15">
        <v>-0.87512793802886957</v>
      </c>
      <c r="I94" s="15">
        <v>-0.82765388007181129</v>
      </c>
      <c r="J94" s="15">
        <v>0.99999999999999989</v>
      </c>
      <c r="K94" s="15">
        <v>-0.9363482775816786</v>
      </c>
      <c r="M94" s="14">
        <v>-0.99957362381448789</v>
      </c>
      <c r="N94" s="14">
        <v>2.888934355592062E-2</v>
      </c>
      <c r="P94" s="14">
        <v>-0.99669182814505353</v>
      </c>
      <c r="Q94" s="14">
        <v>8.1251955702036804E-2</v>
      </c>
      <c r="S94" s="14">
        <v>-0.99791611683251613</v>
      </c>
      <c r="T94" s="14">
        <v>6.4519571843513826E-2</v>
      </c>
    </row>
    <row r="95" spans="1:22" x14ac:dyDescent="0.25">
      <c r="A95" s="15">
        <v>-0.27808203787720759</v>
      </c>
      <c r="B95" s="15">
        <v>-0.33132158242198845</v>
      </c>
      <c r="C95" s="15">
        <v>1</v>
      </c>
      <c r="E95" s="15">
        <v>0.45759045975840906</v>
      </c>
      <c r="F95" s="15">
        <v>-0.87512793802886957</v>
      </c>
      <c r="G95" s="15">
        <v>0.99999999999999978</v>
      </c>
      <c r="I95" s="15">
        <v>0.57794062265914825</v>
      </c>
      <c r="J95" s="15">
        <v>-0.9363482775816786</v>
      </c>
      <c r="K95" s="15">
        <v>1.0000000000000002</v>
      </c>
      <c r="M95" s="14">
        <v>0.30394785201517671</v>
      </c>
      <c r="N95" s="14">
        <v>-0.95267821763180971</v>
      </c>
      <c r="P95" s="14">
        <v>0.83292110571316547</v>
      </c>
      <c r="Q95" s="14">
        <v>-0.55339090675074554</v>
      </c>
      <c r="S95" s="14">
        <v>0.91174561094205409</v>
      </c>
      <c r="T95" s="14">
        <v>-0.41075344784035539</v>
      </c>
    </row>
    <row r="96" spans="1:22" x14ac:dyDescent="0.25">
      <c r="A96" t="s">
        <v>174</v>
      </c>
      <c r="M96" t="s">
        <v>153</v>
      </c>
      <c r="N96" t="s">
        <v>158</v>
      </c>
    </row>
    <row r="97" spans="1:25" x14ac:dyDescent="0.25">
      <c r="A97" t="s">
        <v>175</v>
      </c>
      <c r="E97" t="s">
        <v>180</v>
      </c>
      <c r="I97" t="s">
        <v>184</v>
      </c>
      <c r="M97" t="s">
        <v>170</v>
      </c>
      <c r="P97" t="s">
        <v>171</v>
      </c>
      <c r="S97" t="s">
        <v>172</v>
      </c>
      <c r="V97" t="s">
        <v>190</v>
      </c>
    </row>
    <row r="98" spans="1:25" x14ac:dyDescent="0.25">
      <c r="A98" cm="1">
        <f t="array" ref="A98:C100">MMULT(_xlfn.ANCHORARRAY(A93),_xlfn.ANCHORARRAY(A93))</f>
        <v>1.7401490811446647</v>
      </c>
      <c r="B98">
        <v>-1.5361399185743245</v>
      </c>
      <c r="C98">
        <v>-0.28642283387397738</v>
      </c>
      <c r="E98" cm="1">
        <f t="array" ref="E98:G100">MMULT(_xlfn.ANCHORARRAY(A93),_xlfn.ANCHORARRAY(E93))</f>
        <v>1.5490542552806241</v>
      </c>
      <c r="F98">
        <v>-1.4014775917870677</v>
      </c>
      <c r="G98">
        <v>0.89198267448669055</v>
      </c>
      <c r="I98" cm="1">
        <f t="array" ref="I98:K100">MMULT(_xlfn.ANCHORARRAY(A93),_xlfn.ANCHORARRAY(I93))</f>
        <v>1.5131089475069888</v>
      </c>
      <c r="J98">
        <v>-1.3814094925825509</v>
      </c>
      <c r="K98">
        <v>1.0621745962568658</v>
      </c>
      <c r="M98" s="14" cm="1">
        <f t="array" ref="M98:N100">MMULT(_xlfn.ANCHORARRAY(A93),MMULT(AL10:AM12,AA6:AB7))</f>
        <v>-0.62507401797125761</v>
      </c>
      <c r="N98" s="14">
        <v>-1.0679302473206969</v>
      </c>
      <c r="P98" s="14" cm="1">
        <f t="array" ref="P98:Q100">MMULT(_xlfn.ANCHORARRAY(E93),MMULT(AL10:AM12,AA6:AB7))</f>
        <v>-0.88378642101235305</v>
      </c>
      <c r="Q98" s="14">
        <v>-0.41433448926761818</v>
      </c>
      <c r="S98" s="14" cm="1">
        <f t="array" ref="S98:T100">MMULT(_xlfn.ANCHORARRAY(I93),MMULT(AL10:AM12,AA6:AB7))</f>
        <v>-0.92359333430288082</v>
      </c>
      <c r="T98" s="14">
        <v>-0.30719766301389029</v>
      </c>
      <c r="V98" cm="1">
        <f t="array" ref="V98">M98/SUM(ABS(M98:M100))</f>
        <v>-0.33649376690928745</v>
      </c>
    </row>
    <row r="99" spans="1:25" x14ac:dyDescent="0.25">
      <c r="A99">
        <v>-1.5361399185743245</v>
      </c>
      <c r="B99">
        <v>1.7725934523333344</v>
      </c>
      <c r="C99">
        <v>-0.4362462193346921</v>
      </c>
      <c r="E99">
        <v>-1.7964445474257755</v>
      </c>
      <c r="F99">
        <v>1.9662507160928278</v>
      </c>
      <c r="G99">
        <v>-1.5789909588491138</v>
      </c>
      <c r="I99">
        <v>-1.833275331420656</v>
      </c>
      <c r="J99">
        <v>1.9840562466545315</v>
      </c>
      <c r="K99">
        <v>-1.7381928490272949</v>
      </c>
      <c r="M99" s="14">
        <v>0.8470203826738506</v>
      </c>
      <c r="N99" s="14">
        <v>0.38600840180302703</v>
      </c>
      <c r="P99" s="14">
        <v>1.038933540434521</v>
      </c>
      <c r="Q99" s="14">
        <v>-8.4492786275673248E-2</v>
      </c>
      <c r="S99" s="14">
        <v>1.058751961305457</v>
      </c>
      <c r="T99" s="14">
        <v>-0.14133997045908686</v>
      </c>
      <c r="V99" cm="1">
        <f t="array" ref="V99">M99/SUM(ABS(M99:M101))</f>
        <v>0.68721784913291939</v>
      </c>
    </row>
    <row r="100" spans="1:25" x14ac:dyDescent="0.25">
      <c r="A100">
        <v>-0.28642283387397738</v>
      </c>
      <c r="B100">
        <v>-0.4362462193346921</v>
      </c>
      <c r="C100">
        <v>1.1871036107685513</v>
      </c>
      <c r="E100">
        <v>0.45473649918580666</v>
      </c>
      <c r="F100">
        <v>-0.97544741048142647</v>
      </c>
      <c r="G100">
        <v>1.16270108568663</v>
      </c>
      <c r="I100">
        <v>0.57407817802503169</v>
      </c>
      <c r="J100">
        <v>-1.0375141823763196</v>
      </c>
      <c r="K100">
        <v>1.149517486905387</v>
      </c>
      <c r="M100" s="14">
        <v>-0.38551509896789987</v>
      </c>
      <c r="N100" s="14">
        <v>1.0967515896960722</v>
      </c>
      <c r="P100" s="14">
        <v>-0.89117885716105261</v>
      </c>
      <c r="Q100" s="14">
        <v>0.49507758212071729</v>
      </c>
      <c r="S100" s="14">
        <v>-0.96176694214482472</v>
      </c>
      <c r="T100" s="14">
        <v>0.39767932104203829</v>
      </c>
      <c r="V100" t="e" cm="1">
        <f t="array" ref="V100">M100/SUM(ABS(M100:M102))</f>
        <v>#VALUE!</v>
      </c>
    </row>
    <row r="101" spans="1:25" x14ac:dyDescent="0.25">
      <c r="X101" t="s">
        <v>156</v>
      </c>
    </row>
    <row r="102" spans="1:25" x14ac:dyDescent="0.25">
      <c r="A102" t="s">
        <v>176</v>
      </c>
      <c r="E102" t="s">
        <v>181</v>
      </c>
      <c r="I102" t="s">
        <v>185</v>
      </c>
      <c r="M102" t="s">
        <v>167</v>
      </c>
      <c r="Q102" t="s">
        <v>168</v>
      </c>
      <c r="U102" t="s">
        <v>128</v>
      </c>
      <c r="X102" t="s">
        <v>129</v>
      </c>
    </row>
    <row r="103" spans="1:25" x14ac:dyDescent="0.25">
      <c r="A103" cm="1">
        <f t="array" ref="A103:C105">MMULT(_xlfn.ANCHORARRAY(E93),_xlfn.ANCHORARRAY(A93))</f>
        <v>1.5490542552806241</v>
      </c>
      <c r="B103">
        <v>-1.7964445474257755</v>
      </c>
      <c r="C103">
        <v>0.45473649918580666</v>
      </c>
      <c r="E103" cm="1">
        <f t="array" ref="E103:G105">MMULT(_xlfn.ANCHORARRAY(E93),_xlfn.ANCHORARRAY(E93))</f>
        <v>1.8994477017906362</v>
      </c>
      <c r="F103">
        <v>-2.0618456004979553</v>
      </c>
      <c r="G103">
        <v>1.6421476870256662</v>
      </c>
      <c r="I103" cm="1">
        <f t="array" ref="I103:K105">MMULT(_xlfn.ANCHORARRAY(E93),_xlfn.ANCHORARRAY(I93))</f>
        <v>1.9519902918715164</v>
      </c>
      <c r="J103">
        <v>-2.0868156213983542</v>
      </c>
      <c r="K103">
        <v>1.8133534453388238</v>
      </c>
      <c r="M103" s="14">
        <f t="shared" ref="M103:O105" si="16">$AC$152*A93+$AC$153*E93+$AC$154*I93</f>
        <v>1</v>
      </c>
      <c r="N103" s="14">
        <f t="shared" si="16"/>
        <v>-0.82482658958326927</v>
      </c>
      <c r="O103" s="14">
        <f t="shared" si="16"/>
        <v>0.2891875079829011</v>
      </c>
      <c r="Q103">
        <f t="shared" ref="Q103:S105" si="17">$AC$140*A93+$AC$141*E93+$AC$142*I93</f>
        <v>1</v>
      </c>
      <c r="R103">
        <f t="shared" si="17"/>
        <v>-0.82495938638675614</v>
      </c>
      <c r="S103">
        <f t="shared" si="17"/>
        <v>0.29595643853495757</v>
      </c>
      <c r="U103" s="16">
        <f>AL3*$U$3</f>
        <v>-0.85689933150314423</v>
      </c>
      <c r="V103" s="16">
        <f>AM3*$U$4</f>
        <v>0.51439163004024058</v>
      </c>
      <c r="X103" s="14">
        <f>AL10*$AA$3</f>
        <v>-0.82605298772576019</v>
      </c>
      <c r="Y103" s="14">
        <f>AM10*$AA$4</f>
        <v>-0.55783151928606856</v>
      </c>
    </row>
    <row r="104" spans="1:25" x14ac:dyDescent="0.25">
      <c r="A104">
        <v>-1.4014775917870677</v>
      </c>
      <c r="B104">
        <v>1.9662507160928278</v>
      </c>
      <c r="C104">
        <v>-0.97544741048142647</v>
      </c>
      <c r="E104">
        <v>-2.0618456004979553</v>
      </c>
      <c r="F104">
        <v>2.4559075808473851</v>
      </c>
      <c r="G104">
        <v>-2.1303752196621986</v>
      </c>
      <c r="I104">
        <v>-2.1641235679765813</v>
      </c>
      <c r="J104">
        <v>2.5069547140727932</v>
      </c>
      <c r="K104">
        <v>-2.2915701630314245</v>
      </c>
      <c r="M104" s="14">
        <f t="shared" si="16"/>
        <v>-0.82482658958326938</v>
      </c>
      <c r="N104" s="14">
        <f t="shared" si="16"/>
        <v>1</v>
      </c>
      <c r="O104" s="14">
        <f t="shared" si="16"/>
        <v>-0.74061368614327694</v>
      </c>
      <c r="Q104">
        <f t="shared" si="17"/>
        <v>-0.82495938638675614</v>
      </c>
      <c r="R104">
        <f t="shared" si="17"/>
        <v>0.99999999999999989</v>
      </c>
      <c r="S104">
        <f t="shared" si="17"/>
        <v>-0.74552285429814225</v>
      </c>
      <c r="U104" s="16">
        <f>AL4*$U$3</f>
        <v>0.99793844440566837</v>
      </c>
      <c r="V104" s="16">
        <f>AM4*$U$4</f>
        <v>6.0120060031654453E-2</v>
      </c>
      <c r="X104" s="14">
        <f>AL11*$AA$3</f>
        <v>0.9925747315282657</v>
      </c>
      <c r="Y104" s="14">
        <f>AM11*$AA$4</f>
        <v>2.622433481163558E-2</v>
      </c>
    </row>
    <row r="105" spans="1:25" x14ac:dyDescent="0.25">
      <c r="A105">
        <v>0.89198267448669055</v>
      </c>
      <c r="B105">
        <v>-1.5789909588491138</v>
      </c>
      <c r="C105">
        <v>1.16270108568663</v>
      </c>
      <c r="E105">
        <v>1.6421476870256662</v>
      </c>
      <c r="F105">
        <v>-2.1303752196621986</v>
      </c>
      <c r="G105">
        <v>1.9752379367805728</v>
      </c>
      <c r="I105">
        <v>1.7598341158863948</v>
      </c>
      <c r="J105">
        <v>-2.1902027351134392</v>
      </c>
      <c r="K105">
        <v>2.0838846526725989</v>
      </c>
      <c r="M105" s="14">
        <f t="shared" si="16"/>
        <v>0.2891875079829011</v>
      </c>
      <c r="N105" s="14">
        <f t="shared" si="16"/>
        <v>-0.74061368614327694</v>
      </c>
      <c r="O105" s="14">
        <f t="shared" si="16"/>
        <v>1</v>
      </c>
      <c r="Q105">
        <f t="shared" si="17"/>
        <v>0.29595643853495757</v>
      </c>
      <c r="R105">
        <f t="shared" si="17"/>
        <v>-0.74552285429814225</v>
      </c>
      <c r="S105">
        <f t="shared" si="17"/>
        <v>1</v>
      </c>
      <c r="U105" s="16">
        <f>AL5*$U$3</f>
        <v>-0.70902671084060331</v>
      </c>
      <c r="V105" s="16">
        <f>AM5*$U$4</f>
        <v>-0.6168576236726484</v>
      </c>
      <c r="X105" s="14">
        <f>AL12*$AA$3</f>
        <v>-0.77567572077572222</v>
      </c>
      <c r="Y105" s="14">
        <f>AM12*$AA$4</f>
        <v>0.62761794935667969</v>
      </c>
    </row>
    <row r="106" spans="1:25" x14ac:dyDescent="0.25">
      <c r="U106" t="s">
        <v>189</v>
      </c>
      <c r="X106" s="18" cm="1">
        <f t="array" ref="X106">(MAX(ABS($AN$30:$AO$33))/MAX(ABS($X$103:$Y$105)))*0.8*X103</f>
        <v>-1.4546018640702789</v>
      </c>
      <c r="Y106" s="18" cm="1">
        <f t="array" ref="Y106">(MAX(ABS($AN$30:$AO$33))/MAX(ABS($X$103:$Y$105)))*0.8*Y103</f>
        <v>-0.98228900548454134</v>
      </c>
    </row>
    <row r="107" spans="1:25" x14ac:dyDescent="0.25">
      <c r="A107" t="s">
        <v>177</v>
      </c>
      <c r="E107" t="s">
        <v>182</v>
      </c>
      <c r="I107" t="s">
        <v>186</v>
      </c>
      <c r="U107" t="s">
        <v>128</v>
      </c>
      <c r="X107" s="18" cm="1">
        <f t="array" ref="X107">(MAX(ABS($AN$30:$AO$33))/MAX(ABS($X$103:$Y$105)))*0.8*X104</f>
        <v>1.7478310425158787</v>
      </c>
      <c r="Y107" s="18" cm="1">
        <f t="array" ref="Y107">(MAX(ABS($AN$30:$AO$33))/MAX(ABS($X$103:$Y$105)))*0.8*Y104</f>
        <v>4.6178594918020233E-2</v>
      </c>
    </row>
    <row r="108" spans="1:25" x14ac:dyDescent="0.25">
      <c r="A108" cm="1">
        <f t="array" ref="A108:C110">MMULT(_xlfn.ANCHORARRAY(I93),_xlfn.ANCHORARRAY(A93))</f>
        <v>1.5131089475069888</v>
      </c>
      <c r="B108">
        <v>-1.833275331420656</v>
      </c>
      <c r="C108">
        <v>0.57407817802503169</v>
      </c>
      <c r="E108" cm="1">
        <f t="array" ref="E108:G110">MMULT(_xlfn.ANCHORARRAY(I93),_xlfn.ANCHORARRAY(E93))</f>
        <v>1.9519902918715164</v>
      </c>
      <c r="F108">
        <v>-2.1641235679765813</v>
      </c>
      <c r="G108">
        <v>1.7598341158863948</v>
      </c>
      <c r="I108" cm="1">
        <f t="array" ref="I108:K110">MMULT(_xlfn.ANCHORARRAY(I93),_xlfn.ANCHORARRAY(I93))</f>
        <v>2.0190263085175686</v>
      </c>
      <c r="J108">
        <v>-2.1964614667149984</v>
      </c>
      <c r="K108">
        <v>1.9308535303573302</v>
      </c>
      <c r="U108" s="14">
        <f>$AC$152*M93+$AC$153*P93+$AC$154*S93</f>
        <v>0.85692185000260301</v>
      </c>
      <c r="V108" s="14">
        <f t="shared" ref="V108:V110" si="18">$AC$152*N93+$AC$153*Q93+$AC$154*T93</f>
        <v>0.51437212436558544</v>
      </c>
      <c r="X108" s="18" cm="1">
        <f t="array" ref="X108">(MAX(ABS($AN$30:$AO$33))/MAX(ABS($X$103:$Y$105)))*0.8*X105</f>
        <v>-1.3658922201356467</v>
      </c>
      <c r="Y108" s="18" cm="1">
        <f t="array" ref="Y108">(MAX(ABS($AN$30:$AO$33))/MAX(ABS($X$103:$Y$105)))*0.8*Y105</f>
        <v>1.1051763659515697</v>
      </c>
    </row>
    <row r="109" spans="1:25" x14ac:dyDescent="0.25">
      <c r="A109">
        <v>-1.3814094925825509</v>
      </c>
      <c r="B109">
        <v>1.9840562466545315</v>
      </c>
      <c r="C109">
        <v>-1.0375141823763196</v>
      </c>
      <c r="E109">
        <v>-2.0868156213983542</v>
      </c>
      <c r="F109">
        <v>2.5069547140727932</v>
      </c>
      <c r="G109">
        <v>-2.1902027351134392</v>
      </c>
      <c r="I109">
        <v>-2.1964614667149993</v>
      </c>
      <c r="J109">
        <v>2.5617590421281</v>
      </c>
      <c r="K109">
        <v>-2.3510313539583199</v>
      </c>
      <c r="U109" s="14">
        <f t="shared" ref="U109:U110" si="19">$AC$152*M94+$AC$153*P94+$AC$154*S94</f>
        <v>-0.9979646692788755</v>
      </c>
      <c r="V109" s="14">
        <f t="shared" si="18"/>
        <v>6.0117780285518056E-2</v>
      </c>
    </row>
    <row r="110" spans="1:25" x14ac:dyDescent="0.25">
      <c r="A110">
        <v>1.0621745962568658</v>
      </c>
      <c r="B110">
        <v>-1.7381928490272949</v>
      </c>
      <c r="C110">
        <v>1.149517486905387</v>
      </c>
      <c r="E110">
        <v>1.8133534453388238</v>
      </c>
      <c r="F110">
        <v>-2.2915701630314245</v>
      </c>
      <c r="G110">
        <v>2.0838846526725989</v>
      </c>
      <c r="I110">
        <v>1.9308535303573304</v>
      </c>
      <c r="J110">
        <v>-2.3510313539583199</v>
      </c>
      <c r="K110">
        <v>2.2107634602498205</v>
      </c>
      <c r="U110" s="14">
        <f t="shared" si="19"/>
        <v>0.70904534338822867</v>
      </c>
      <c r="V110" s="14">
        <f t="shared" si="18"/>
        <v>-0.61683423249866121</v>
      </c>
    </row>
    <row r="111" spans="1:25" x14ac:dyDescent="0.25">
      <c r="U111" s="18" cm="1">
        <f t="array" ref="U111">(MAX(ABS($AK$24:$AL$27))/MAX(ABS($U$108:$V$110)))*0.8*U108</f>
        <v>1.5452684095797602</v>
      </c>
      <c r="V111" s="18" cm="1">
        <f t="array" ref="V111">(MAX(ABS($AK$24:$AL$27))/MAX(ABS($U$108:$V$110)))*0.8*V108</f>
        <v>0.92755598955512264</v>
      </c>
    </row>
    <row r="112" spans="1:25" x14ac:dyDescent="0.25">
      <c r="A112" t="s">
        <v>200</v>
      </c>
      <c r="U112" s="18" cm="1">
        <f t="array" ref="U112">(MAX(ABS($AK$24:$AL$27))/MAX(ABS($U$108:$V$110)))*0.8*U109</f>
        <v>-1.7996078374109317</v>
      </c>
      <c r="V112" s="18" cm="1">
        <f t="array" ref="V112">(MAX(ABS($AK$24:$AL$27))/MAX(ABS($U$108:$V$110)))*0.8*V109</f>
        <v>0.10840907689421825</v>
      </c>
    </row>
    <row r="113" spans="1:22" x14ac:dyDescent="0.25">
      <c r="A113">
        <f>SUMPRODUCT(_xlfn.ANCHORARRAY(A98),_xlfn.MUNIT(3))</f>
        <v>4.6998461442465498</v>
      </c>
      <c r="E113">
        <f>SUMPRODUCT(_xlfn.ANCHORARRAY(E98),_xlfn.MUNIT(3))</f>
        <v>4.6780060570600819</v>
      </c>
      <c r="I113">
        <f>SUMPRODUCT(_xlfn.ANCHORARRAY(I98),_xlfn.MUNIT(3))</f>
        <v>4.646682681066908</v>
      </c>
      <c r="U113" s="18" cm="1">
        <f t="array" ref="U113">(MAX(ABS($AK$24:$AL$27))/MAX(ABS($U$108:$V$110)))*0.8*U110</f>
        <v>1.2786059429971761</v>
      </c>
      <c r="V113" s="18" cm="1">
        <f t="array" ref="V113">(MAX(ABS($AK$24:$AL$27))/MAX(ABS($U$108:$V$110)))*0.8*V110</f>
        <v>-1.1123236657166145</v>
      </c>
    </row>
    <row r="118" spans="1:22" x14ac:dyDescent="0.25">
      <c r="A118">
        <f>SUMPRODUCT(_xlfn.ANCHORARRAY(A103),_xlfn.MUNIT(3))</f>
        <v>4.6780060570600819</v>
      </c>
      <c r="E118">
        <f>SUMPRODUCT(_xlfn.ANCHORARRAY(E103),_xlfn.MUNIT(3))</f>
        <v>6.3305932194185939</v>
      </c>
      <c r="I118">
        <f>SUMPRODUCT(_xlfn.ANCHORARRAY(I103),_xlfn.MUNIT(3))</f>
        <v>6.5428296586169088</v>
      </c>
    </row>
    <row r="123" spans="1:22" x14ac:dyDescent="0.25">
      <c r="A123">
        <f>SUMPRODUCT(_xlfn.ANCHORARRAY(A108),_xlfn.MUNIT(3))</f>
        <v>4.646682681066908</v>
      </c>
      <c r="E123">
        <f>SUMPRODUCT(_xlfn.ANCHORARRAY(E108),_xlfn.MUNIT(3))</f>
        <v>6.5428296586169088</v>
      </c>
      <c r="I123">
        <f>SUMPRODUCT(_xlfn.ANCHORARRAY(I108),_xlfn.MUNIT(3))</f>
        <v>6.7915488108954891</v>
      </c>
    </row>
    <row r="125" spans="1:22" x14ac:dyDescent="0.25">
      <c r="A125" t="s">
        <v>115</v>
      </c>
    </row>
    <row r="126" spans="1:22" x14ac:dyDescent="0.25">
      <c r="A126">
        <f>A113/(SQRT(SUMPRODUCT(_xlfn.ANCHORARRAY(A98),_xlfn.MUNIT(3)))*SQRT(SUMPRODUCT(_xlfn.ANCHORARRAY(A98),_xlfn.MUNIT(3))))</f>
        <v>1.0000000000000002</v>
      </c>
      <c r="E126">
        <f>E113/(SQRT(SUMPRODUCT(_xlfn.ANCHORARRAY(A98),_xlfn.MUNIT(3)))*SQRT(SUMPRODUCT(_xlfn.ANCHORARRAY(E103),_xlfn.MUNIT(3))))</f>
        <v>0.85762366280578384</v>
      </c>
      <c r="I126">
        <f>I113/(SQRT(SUMPRODUCT(_xlfn.ANCHORARRAY(A98),_xlfn.MUNIT(3)))*SQRT(SUMPRODUCT(_xlfn.ANCHORARRAY(I108),_xlfn.MUNIT(3))))</f>
        <v>0.8224637814474921</v>
      </c>
    </row>
    <row r="131" spans="1:82" x14ac:dyDescent="0.25">
      <c r="A131">
        <f>A118/(SQRT(SUMPRODUCT(_xlfn.ANCHORARRAY(E103),_xlfn.MUNIT(3)))*SQRT(SUMPRODUCT(_xlfn.ANCHORARRAY(A98),_xlfn.MUNIT(3))))</f>
        <v>0.85762366280578384</v>
      </c>
      <c r="E131">
        <f>E118/(SQRT(SUMPRODUCT(_xlfn.ANCHORARRAY(E103),_xlfn.MUNIT(3)))*SQRT(SUMPRODUCT(_xlfn.ANCHORARRAY(E103),_xlfn.MUNIT(3))))</f>
        <v>1.0000000000000002</v>
      </c>
      <c r="I131">
        <f>I118/(SQRT(SUMPRODUCT(_xlfn.ANCHORARRAY(E103),_xlfn.MUNIT(3)))*SQRT(SUMPRODUCT(_xlfn.ANCHORARRAY(I108),_xlfn.MUNIT(3))))</f>
        <v>0.99783560478438982</v>
      </c>
    </row>
    <row r="136" spans="1:82" x14ac:dyDescent="0.25">
      <c r="A136">
        <f>A123/(SQRT(SUMPRODUCT(_xlfn.ANCHORARRAY(I108),_xlfn.MUNIT(3)))*SQRT(SUMPRODUCT(_xlfn.ANCHORARRAY(A98),_xlfn.MUNIT(3))))</f>
        <v>0.8224637814474921</v>
      </c>
      <c r="E136">
        <f>E123/(SQRT(SUMPRODUCT(_xlfn.ANCHORARRAY(I108),_xlfn.MUNIT(3)))*SQRT(SUMPRODUCT(_xlfn.ANCHORARRAY(E103),_xlfn.MUNIT(3))))</f>
        <v>0.99783560478438982</v>
      </c>
      <c r="I136">
        <f>I123/(SQRT(SUMPRODUCT(_xlfn.ANCHORARRAY(I108),_xlfn.MUNIT(3)))*SQRT(SUMPRODUCT(_xlfn.ANCHORARRAY(I108),_xlfn.MUNIT(3))))</f>
        <v>1</v>
      </c>
    </row>
    <row r="139" spans="1:82" x14ac:dyDescent="0.25">
      <c r="A139" t="s">
        <v>201</v>
      </c>
      <c r="AC139" t="s">
        <v>110</v>
      </c>
      <c r="AT139" t="s">
        <v>112</v>
      </c>
      <c r="CD139" t="s">
        <v>116</v>
      </c>
    </row>
    <row r="140" spans="1:82" x14ac:dyDescent="0.25">
      <c r="A140" s="14">
        <f>A113</f>
        <v>4.6998461442465498</v>
      </c>
      <c r="B140" s="14">
        <f>E113</f>
        <v>4.6780060570600819</v>
      </c>
      <c r="C140" s="14">
        <f>I113</f>
        <v>4.646682681066908</v>
      </c>
      <c r="F140">
        <v>1</v>
      </c>
      <c r="G140" cm="1">
        <f t="array" ref="G140:G142">MMULT($A$140:$C$142,F140:F142)</f>
        <v>14.024534882373539</v>
      </c>
      <c r="H140">
        <f>G140/SQRT(SUMSQ($G$140:$G$142))</f>
        <v>0.48736897513065353</v>
      </c>
      <c r="I140" cm="1">
        <f t="array" ref="I140:I142">MMULT($A$140:$C$142,H140:H142)</f>
        <v>8.047367450037564</v>
      </c>
      <c r="J140">
        <f t="shared" ref="J140" si="20">I140/SQRT(SUMSQ($G$140:$G$142))</f>
        <v>0.27965542240933233</v>
      </c>
      <c r="K140" cm="1">
        <f t="array" ref="K140:K142">MMULT($A$140:$C$142,J140:J142)</f>
        <v>4.6726852112206263</v>
      </c>
      <c r="L140">
        <f t="shared" ref="L140" si="21">K140/SQRT(SUMSQ($G$140:$G$142))</f>
        <v>0.16238127122226101</v>
      </c>
      <c r="M140" cm="1">
        <f t="array" ref="M140:M142">MMULT($A$140:$C$142,L140:L142)</f>
        <v>2.715312989412932</v>
      </c>
      <c r="N140" cm="1">
        <f t="array" ref="N140:N142">MMULT($A$140:$C$142,M140:M142)</f>
        <v>45.407360153100647</v>
      </c>
      <c r="O140">
        <f t="shared" ref="O140" si="22">N140/SQRT(SUMSQ($G$140:$G$142))</f>
        <v>1.5779588247891891</v>
      </c>
      <c r="P140" cm="1">
        <f t="array" ref="P140:P142">MMULT($A$140:$C$142,O140:O142)</f>
        <v>26.387818919345605</v>
      </c>
      <c r="Q140">
        <f t="shared" ref="Q140" si="23">P140/SQRT(SUMSQ($G$140:$G$142))</f>
        <v>0.91700754217655622</v>
      </c>
      <c r="R140" cm="1">
        <f t="array" ref="R140:R142">MMULT($A$140:$C$142,Q140:Q142)</f>
        <v>15.334895929340741</v>
      </c>
      <c r="S140">
        <f t="shared" ref="S140" si="24">R140/SQRT(SUMSQ($G$140:$G$142))</f>
        <v>0.53290555269759898</v>
      </c>
      <c r="T140" cm="1">
        <f t="array" ref="T140:T142">MMULT($A$140:$C$142,S140:S142)</f>
        <v>8.9116511418899975</v>
      </c>
      <c r="U140" cm="1">
        <f t="array" ref="U140:U142">MMULT($A$140:$C$142,T140:T142)</f>
        <v>149.02739472143</v>
      </c>
      <c r="V140">
        <f t="shared" ref="V140" si="25">U140/SQRT(SUMSQ($G$140:$G$142))</f>
        <v>5.1788761082593879</v>
      </c>
      <c r="W140" cm="1">
        <f t="array" ref="W140:W142">MMULT($A$140:$C$142,V140:V142)</f>
        <v>86.60509727763332</v>
      </c>
      <c r="X140">
        <f t="shared" ref="X140" si="26">W140/SQRT(SUMSQ($G$140:$G$142))</f>
        <v>3.0096283303013349</v>
      </c>
      <c r="Y140" cm="1">
        <f t="array" ref="Y140:Y142">MMULT($A$140:$C$142,X140:X142)</f>
        <v>50.329289380114972</v>
      </c>
      <c r="Z140">
        <f t="shared" ref="Z140" si="27">Y140/SQRT(SUMSQ($G$140:$G$142))</f>
        <v>1.7490016168072302</v>
      </c>
      <c r="AA140">
        <f>X140/SUM(X140:X142)</f>
        <v>0.2794201365991264</v>
      </c>
      <c r="AC140">
        <f>Z140/SUM($Z$140:$Z$142)</f>
        <v>0.27942013659904996</v>
      </c>
      <c r="AD140">
        <f>AC140</f>
        <v>0.27942013659904996</v>
      </c>
      <c r="AE140">
        <v>0</v>
      </c>
      <c r="AF140">
        <v>0</v>
      </c>
      <c r="AH140" cm="1">
        <f t="array" ref="AH140:AJ142">AC140*A93:C95</f>
        <v>0.27942013659905002</v>
      </c>
      <c r="AI140">
        <v>-0.22748634152251729</v>
      </c>
      <c r="AJ140">
        <v>-7.7701721009391531E-2</v>
      </c>
      <c r="AL140" cm="1">
        <f t="array" ref="AL140:AN142">AC141*E93:G95</f>
        <v>0.35558086797551886</v>
      </c>
      <c r="AM140">
        <v>-0.29538021007806753</v>
      </c>
      <c r="AN140">
        <v>0.16271041285821186</v>
      </c>
      <c r="AP140" cm="1">
        <f t="array" ref="AP140:AR142">AC142*I93:K95</f>
        <v>0.36499899542543113</v>
      </c>
      <c r="AQ140">
        <v>-0.30209283478617127</v>
      </c>
      <c r="AR140">
        <v>0.21094774668613725</v>
      </c>
      <c r="AT140">
        <f>AH140+AL140+AP140</f>
        <v>1</v>
      </c>
      <c r="AU140">
        <f t="shared" ref="AU140:AU142" si="28">AI140+AM140+AQ140</f>
        <v>-0.82495938638675614</v>
      </c>
      <c r="AV140">
        <f t="shared" ref="AV140:AV142" si="29">AJ140+AN140+AR140</f>
        <v>0.29595643853495757</v>
      </c>
      <c r="AY140">
        <v>1</v>
      </c>
      <c r="AZ140" cm="1">
        <f t="array" ref="AZ140:AZ142">MMULT($AT$140:$AV$142,AY140:AY142)</f>
        <v>0.47099705214820142</v>
      </c>
      <c r="BA140">
        <f>AZ140/SQRT(SUMSQ($AZ$140:$AZ$142))</f>
        <v>0.51078831173026362</v>
      </c>
      <c r="BB140" cm="1">
        <f t="array" ref="BB140:BB142">MMULT($AT$140:$AV$142,BA140:BA142)</f>
        <v>1.1978398093026457</v>
      </c>
      <c r="BC140">
        <f t="shared" ref="BC140" si="30">BB140/SQRT(SUMSQ($AZ$140:$AZ$142))</f>
        <v>1.2990369496505474</v>
      </c>
      <c r="BD140" cm="1">
        <f t="array" ref="BD140:BD142">MMULT($AT$140:$AV$142,BC140:BC142)</f>
        <v>3.0158281988966844</v>
      </c>
      <c r="BE140">
        <f t="shared" ref="BE140" si="31">BD140/SQRT(SUMSQ($AZ$140:$AZ$142))</f>
        <v>3.2706145126748045</v>
      </c>
      <c r="BF140" cm="1">
        <f t="array" ref="BF140:BF142">MMULT($AT$140:$AV$142,BE140:BE142)</f>
        <v>7.4747387202002393</v>
      </c>
      <c r="BG140">
        <f t="shared" ref="BG140" si="32">BF140/SQRT(SUMSQ($AZ$140:$AZ$142))</f>
        <v>8.1062273194749377</v>
      </c>
      <c r="BJ140">
        <f>BG140/SUM(BG$140:BG$142)</f>
        <v>1.3507123343135214</v>
      </c>
    </row>
    <row r="141" spans="1:82" x14ac:dyDescent="0.25">
      <c r="A141" s="14">
        <f>A118</f>
        <v>4.6780060570600819</v>
      </c>
      <c r="B141" s="14">
        <f>E118</f>
        <v>6.3305932194185939</v>
      </c>
      <c r="C141" s="14">
        <f>I118</f>
        <v>6.5428296586169088</v>
      </c>
      <c r="F141">
        <v>1</v>
      </c>
      <c r="G141">
        <v>17.551428935095586</v>
      </c>
      <c r="H141">
        <f t="shared" ref="H141:L142" si="33">G141/SQRT(SUMSQ($G$140:$G$142))</f>
        <v>0.60993266471367891</v>
      </c>
      <c r="I141">
        <v>10.229522033857513</v>
      </c>
      <c r="J141">
        <f t="shared" si="33"/>
        <v>0.35548784409125522</v>
      </c>
      <c r="K141">
        <v>5.9458741523964278</v>
      </c>
      <c r="L141">
        <f t="shared" si="33"/>
        <v>0.20662607467655678</v>
      </c>
      <c r="M141">
        <v>3.4554014613298891</v>
      </c>
      <c r="N141">
        <v>57.783893731253237</v>
      </c>
      <c r="O141">
        <f t="shared" ref="O141" si="34">N141/SQRT(SUMSQ($G$140:$G$142))</f>
        <v>2.0080578288734863</v>
      </c>
      <c r="P141">
        <v>33.580269040208748</v>
      </c>
      <c r="Q141">
        <f t="shared" ref="Q141" si="35">P141/SQRT(SUMSQ($G$140:$G$142))</f>
        <v>1.1669535884079416</v>
      </c>
      <c r="R141">
        <v>19.514683744217756</v>
      </c>
      <c r="S141">
        <f t="shared" ref="S141" si="36">R141/SQRT(SUMSQ($G$140:$G$142))</f>
        <v>0.67815806343579765</v>
      </c>
      <c r="T141">
        <v>11.340673891351836</v>
      </c>
      <c r="U141">
        <v>189.64735688647738</v>
      </c>
      <c r="V141">
        <f t="shared" ref="V141" si="37">U141/SQRT(SUMSQ($G$140:$G$142))</f>
        <v>6.5904672587870552</v>
      </c>
      <c r="W141">
        <v>110.21079595728307</v>
      </c>
      <c r="X141">
        <f t="shared" ref="X141" si="38">W141/SQRT(SUMSQ($G$140:$G$142))</f>
        <v>3.8299539431816134</v>
      </c>
      <c r="Y141">
        <v>64.047396942089932</v>
      </c>
      <c r="Z141">
        <f t="shared" ref="Z141" si="39">Y141/SQRT(SUMSQ($G$140:$G$142))</f>
        <v>2.2257218844871729</v>
      </c>
      <c r="AC141">
        <f>Z141/SUM($Z$140:$Z$142)</f>
        <v>0.35558086797551891</v>
      </c>
      <c r="AD141">
        <v>0</v>
      </c>
      <c r="AE141">
        <f>AC141</f>
        <v>0.35558086797551891</v>
      </c>
      <c r="AF141">
        <v>0</v>
      </c>
      <c r="AH141">
        <v>-0.22748634152251729</v>
      </c>
      <c r="AI141">
        <v>0.27942013659905002</v>
      </c>
      <c r="AJ141">
        <v>-9.2577921818565403E-2</v>
      </c>
      <c r="AL141">
        <v>-0.29538021007806753</v>
      </c>
      <c r="AM141">
        <v>0.35558086797551886</v>
      </c>
      <c r="AN141">
        <v>-0.31117875179393156</v>
      </c>
      <c r="AP141">
        <v>-0.30209283478617133</v>
      </c>
      <c r="AQ141">
        <v>0.36499899542543102</v>
      </c>
      <c r="AR141">
        <v>-0.34176618068564535</v>
      </c>
      <c r="AT141">
        <f t="shared" ref="AT141:AT142" si="40">AH141+AL141+AP141</f>
        <v>-0.82495938638675614</v>
      </c>
      <c r="AU141">
        <f t="shared" si="28"/>
        <v>0.99999999999999989</v>
      </c>
      <c r="AV141">
        <f t="shared" si="29"/>
        <v>-0.74552285429814225</v>
      </c>
      <c r="AY141">
        <v>1</v>
      </c>
      <c r="AZ141">
        <v>-0.5704822406848985</v>
      </c>
      <c r="BA141">
        <f t="shared" ref="BA141" si="41">AZ141/SQRT(SUMSQ($AZ$140:$AZ$142))</f>
        <v>-0.61867831075054847</v>
      </c>
      <c r="BB141">
        <v>-1.4850872662922221</v>
      </c>
      <c r="BC141">
        <f t="shared" ref="BC141" si="42">BB141/SQRT(SUMSQ($AZ$140:$AZ$142))</f>
        <v>-1.6105519430784687</v>
      </c>
      <c r="BD141">
        <v>-3.6599690693111007</v>
      </c>
      <c r="BE141">
        <f t="shared" ref="BE141" si="43">BD141/SQRT(SUMSQ($AZ$140:$AZ$142))</f>
        <v>-3.9691743576139498</v>
      </c>
      <c r="BF141">
        <v>-9.0092814972132356</v>
      </c>
      <c r="BG141">
        <f t="shared" ref="BG141" si="44">BF141/SQRT(SUMSQ($AZ$140:$AZ$142))</f>
        <v>-9.7704129248271006</v>
      </c>
      <c r="BJ141">
        <f>BG141/SUM(BG$140:BG$142)</f>
        <v>-1.6280097669102895</v>
      </c>
    </row>
    <row r="142" spans="1:82" x14ac:dyDescent="0.25">
      <c r="A142" s="14">
        <f>A123</f>
        <v>4.646682681066908</v>
      </c>
      <c r="B142" s="14">
        <f>E123</f>
        <v>6.5428296586169088</v>
      </c>
      <c r="C142" s="14">
        <f>I123</f>
        <v>6.7915488108954891</v>
      </c>
      <c r="F142">
        <v>1</v>
      </c>
      <c r="G142">
        <v>17.981061150579304</v>
      </c>
      <c r="H142">
        <f t="shared" si="33"/>
        <v>0.6248628862361465</v>
      </c>
      <c r="I142">
        <v>10.499121296466662</v>
      </c>
      <c r="J142">
        <f t="shared" si="33"/>
        <v>0.36485673349941239</v>
      </c>
      <c r="K142">
        <v>6.1033087321190891</v>
      </c>
      <c r="L142">
        <f t="shared" si="33"/>
        <v>0.21209711028758396</v>
      </c>
      <c r="M142">
        <v>3.5469213275234863</v>
      </c>
      <c r="N142">
        <v>59.314390329480474</v>
      </c>
      <c r="O142">
        <f t="shared" ref="O142" si="45">N142/SQRT(SUMSQ($G$140:$G$142))</f>
        <v>2.0612443740798057</v>
      </c>
      <c r="P142">
        <v>34.469696039302661</v>
      </c>
      <c r="Q142">
        <f t="shared" ref="Q142" si="46">P142/SQRT(SUMSQ($G$140:$G$142))</f>
        <v>1.1978622159408763</v>
      </c>
      <c r="R142">
        <v>20.031561321394342</v>
      </c>
      <c r="S142">
        <f t="shared" ref="S142" si="47">R142/SQRT(SUMSQ($G$140:$G$142))</f>
        <v>0.69612016322515868</v>
      </c>
      <c r="T142">
        <v>11.641049759834466</v>
      </c>
      <c r="U142">
        <v>194.67047015974859</v>
      </c>
      <c r="V142">
        <f t="shared" ref="V142" si="48">U142/SQRT(SUMSQ($G$140:$G$142))</f>
        <v>6.7650263146482388</v>
      </c>
      <c r="W142">
        <v>113.12990498750165</v>
      </c>
      <c r="X142">
        <f t="shared" ref="X142" si="49">W142/SQRT(SUMSQ($G$140:$G$142))</f>
        <v>3.9313963930228795</v>
      </c>
      <c r="Y142">
        <v>65.74379458763832</v>
      </c>
      <c r="Z142">
        <f t="shared" ref="Z142" si="50">Y142/SQRT(SUMSQ($G$140:$G$142))</f>
        <v>2.2846736849468146</v>
      </c>
      <c r="AC142">
        <f>Z142/SUM($Z$140:$Z$142)</f>
        <v>0.36499899542543107</v>
      </c>
      <c r="AD142">
        <v>0</v>
      </c>
      <c r="AE142">
        <v>0</v>
      </c>
      <c r="AF142">
        <f>AC142</f>
        <v>0.36499899542543107</v>
      </c>
      <c r="AH142">
        <v>-7.7701721009391531E-2</v>
      </c>
      <c r="AI142">
        <v>-9.2577921818565403E-2</v>
      </c>
      <c r="AJ142">
        <v>0.27942013659904996</v>
      </c>
      <c r="AL142">
        <v>0.16271041285821186</v>
      </c>
      <c r="AM142">
        <v>-0.31117875179393156</v>
      </c>
      <c r="AN142">
        <v>0.35558086797551886</v>
      </c>
      <c r="AP142">
        <v>0.21094774668613725</v>
      </c>
      <c r="AQ142">
        <v>-0.34176618068564535</v>
      </c>
      <c r="AR142">
        <v>0.36499899542543113</v>
      </c>
      <c r="AT142">
        <f t="shared" si="40"/>
        <v>0.29595643853495757</v>
      </c>
      <c r="AU142">
        <f t="shared" si="28"/>
        <v>-0.74552285429814225</v>
      </c>
      <c r="AV142">
        <f t="shared" si="29"/>
        <v>1</v>
      </c>
      <c r="AY142">
        <v>1</v>
      </c>
      <c r="AZ142">
        <v>0.55043358423681532</v>
      </c>
      <c r="BA142">
        <f>AZ142/SQRT(SUMSQ($AZ$140:$AZ$142))</f>
        <v>0.59693588299464351</v>
      </c>
      <c r="BB142">
        <v>1.209345792702718</v>
      </c>
      <c r="BC142">
        <f t="shared" ref="BC142" si="51">BB142/SQRT(SUMSQ($AZ$140:$AZ$142))</f>
        <v>1.3115149934279213</v>
      </c>
      <c r="BD142">
        <v>2.8966766241710911</v>
      </c>
      <c r="BE142">
        <f t="shared" ref="BE142" si="52">BD142/SQRT(SUMSQ($AZ$140:$AZ$142))</f>
        <v>3.1413966515087903</v>
      </c>
      <c r="BF142">
        <v>7.0684662707961188</v>
      </c>
      <c r="BG142">
        <f t="shared" ref="BG142" si="53">BF142/SQRT(SUMSQ($AZ$140:$AZ$142))</f>
        <v>7.6656317412496344</v>
      </c>
      <c r="BJ142">
        <f>BG142/SUM(BG$140:BG$142)</f>
        <v>1.2772974325967681</v>
      </c>
    </row>
    <row r="143" spans="1:82" x14ac:dyDescent="0.25">
      <c r="G143">
        <f>G140*G140+G141*G141+G142*G142</f>
        <v>828.05879643149513</v>
      </c>
      <c r="AZ143">
        <f>AZ140*AZ140+AZ141*AZ141+AZ142*AZ142</f>
        <v>0.85026534072494531</v>
      </c>
    </row>
    <row r="144" spans="1:82" x14ac:dyDescent="0.25">
      <c r="G144">
        <f>SQRT(G143)</f>
        <v>28.776010780361741</v>
      </c>
      <c r="H144">
        <f>H140/SUM(H140:H142)</f>
        <v>0.28299791788178902</v>
      </c>
      <c r="J144">
        <f>J140/SUM(J140:J142)</f>
        <v>0.27965542240933233</v>
      </c>
      <c r="L144">
        <f>L140/SUM(L140:L142)</f>
        <v>0.27943559801264667</v>
      </c>
      <c r="N144">
        <f>N140/SUM(N140:N142)</f>
        <v>0.27942020335829693</v>
      </c>
      <c r="P144">
        <f>P140/SUM(P140:P142)</f>
        <v>0.2794201409857836</v>
      </c>
      <c r="R144">
        <f>R140/SUM(R140:R142)</f>
        <v>0.2794201368872965</v>
      </c>
      <c r="T144">
        <f>T140/SUM(T140:T142)</f>
        <v>0.27942013661798559</v>
      </c>
      <c r="V144">
        <f>V140/SUM(V140:V142)</f>
        <v>0.2794201366002893</v>
      </c>
      <c r="X144">
        <f>X140/SUM(X140:X142)</f>
        <v>0.2794201365991264</v>
      </c>
      <c r="Z144">
        <f>Z140/SUM(Z140:Z142)</f>
        <v>0.27942013659904996</v>
      </c>
      <c r="AZ144">
        <f>SQRT(AZ143)</f>
        <v>0.92209833571314148</v>
      </c>
      <c r="BA144">
        <f>BA140/SUM(BA140:BA142)</f>
        <v>1.0444588707693632</v>
      </c>
      <c r="BC144">
        <f>BC140/SUM(BC140:BC142)</f>
        <v>1.2990369496505474</v>
      </c>
      <c r="BE144">
        <f>BE140/SUM(BE140:BE142)</f>
        <v>1.3388591918539032</v>
      </c>
      <c r="BG144">
        <f>BG140/SUM(BG140:BG142)</f>
        <v>1.3507123343135214</v>
      </c>
      <c r="BJ144">
        <f>SUMPRODUCT(BJ140:BJ142,MMULT($AT$140:$AV$142,BJ140:BJ142))</f>
        <v>13.856218420732336</v>
      </c>
    </row>
    <row r="145" spans="1:62" x14ac:dyDescent="0.25">
      <c r="A145" t="s">
        <v>202</v>
      </c>
      <c r="AT145" cm="1">
        <f t="array" ref="AT145:AV147">AT140:AV142 - BJ144 * MMULT(BJ140:BJ142, TRANSPOSE(BJ140:BJ142))</f>
        <v>-24.279614804268633</v>
      </c>
      <c r="AU145">
        <v>29.644489036911985</v>
      </c>
      <c r="AV145">
        <v>-23.609642308320534</v>
      </c>
      <c r="AY145">
        <v>1</v>
      </c>
      <c r="AZ145" cm="1">
        <f t="array" ref="AZ145:AZ147">MMULT($AT$145:$AV$147,AY145:AY147)</f>
        <v>-18.244768075677182</v>
      </c>
      <c r="BA145">
        <f>AZ145/SQRT(SUMSQ($AZ$145:$AZ$147))</f>
        <v>-0.5475227901041696</v>
      </c>
      <c r="BB145" cm="1">
        <f t="array" ref="BB145:BB147">MMULT($AT$145:$AV$147,BA145:BA147)</f>
        <v>45.004167137490029</v>
      </c>
      <c r="BC145">
        <f t="shared" ref="BC145" si="54">BB145/SQRT(SUMSQ($AZ$145:$AZ$147))</f>
        <v>1.3505683961136534</v>
      </c>
      <c r="BD145" cm="1">
        <f t="array" ref="BD145:BD147">MMULT($AT$145:$AV$147,BC145:BC147)</f>
        <v>-111.21054372594716</v>
      </c>
      <c r="BE145">
        <f t="shared" ref="BE145" si="55">BD145/SQRT(SUMSQ($AZ$145:$AZ$147))</f>
        <v>-3.337411960364002</v>
      </c>
      <c r="BF145" cm="1">
        <f t="array" ref="BF145:BF147">MMULT($AT$145:$AV$147,BE145:BE147)</f>
        <v>274.8073218656919</v>
      </c>
      <c r="BG145">
        <f t="shared" ref="BG145" si="56">BF145/SQRT(SUMSQ($AZ$145:$AZ$147))</f>
        <v>8.2469270634109453</v>
      </c>
      <c r="BJ145">
        <f>BG145/SUM(BG$145:BG$147)</f>
        <v>1.3506116231039265</v>
      </c>
    </row>
    <row r="146" spans="1:62" x14ac:dyDescent="0.25">
      <c r="A146" s="14">
        <f>A126</f>
        <v>1.0000000000000002</v>
      </c>
      <c r="B146" s="14">
        <f>E126</f>
        <v>0.85762366280578384</v>
      </c>
      <c r="C146" s="14">
        <f>I126</f>
        <v>0.8224637814474921</v>
      </c>
      <c r="F146">
        <v>1</v>
      </c>
      <c r="G146" cm="1">
        <f t="array" ref="G146:G148">MMULT($A$146:$C$148,F146:F148)</f>
        <v>2.6800874442532763</v>
      </c>
      <c r="H146">
        <f>G146/SQRT(SUMSQ($G$146:$G$148))</f>
        <v>0.55533951862419872</v>
      </c>
      <c r="I146" cm="1">
        <f t="array" ref="I146:I148">MMULT($A$146:$C$148,H146:H148)</f>
        <v>1.5434186437477948</v>
      </c>
      <c r="J146">
        <f t="shared" ref="J146" si="57">I146/SQRT(SUMSQ($G$146:$G$148))</f>
        <v>0.31981097053097252</v>
      </c>
      <c r="K146" cm="1">
        <f t="array" ref="K146:K148">MMULT($A$146:$C$148,J146:J148)</f>
        <v>0.89127067879257527</v>
      </c>
      <c r="L146">
        <f t="shared" ref="L146" si="58">K146/SQRT(SUMSQ($G$146:$G$148))</f>
        <v>0.18467973154601167</v>
      </c>
      <c r="M146" cm="1">
        <f t="array" ref="M146:M148">MMULT($A$146:$C$148,L146:L148)</f>
        <v>0.51478564613098365</v>
      </c>
      <c r="N146">
        <f t="shared" ref="N146" si="59">M146/SQRT(SUMSQ($G$146:$G$148))</f>
        <v>0.10666846469133749</v>
      </c>
      <c r="O146" cm="1">
        <f t="array" ref="O146:O148">MMULT($A$146:$C$148,N146:N148)</f>
        <v>0.29733783140494713</v>
      </c>
      <c r="P146">
        <f t="shared" ref="P146" si="60">O146/SQRT(SUMSQ($G$146:$G$148))</f>
        <v>6.1611216647146763E-2</v>
      </c>
      <c r="Q146" cm="1">
        <f t="array" ref="Q146:Q148">MMULT($A$146:$C$148,P146:P148)</f>
        <v>0.17174117845826059</v>
      </c>
      <c r="R146">
        <f t="shared" ref="R146" si="61">Q146/SQRT(SUMSQ($G$146:$G$148))</f>
        <v>3.5586399830896655E-2</v>
      </c>
      <c r="S146" cm="1">
        <f t="array" ref="S146:S148">MMULT($A$146:$C$148,R146:R148)</f>
        <v>9.9197047927088791E-2</v>
      </c>
      <c r="T146">
        <f t="shared" ref="T146" si="62">S146/SQRT(SUMSQ($G$146:$G$148))</f>
        <v>2.0554568457418237E-2</v>
      </c>
      <c r="U146" cm="1">
        <f t="array" ref="U146:U148">MMULT($A$146:$C$148,T146:T148)</f>
        <v>5.7295835950954645E-2</v>
      </c>
      <c r="V146">
        <f t="shared" ref="V146" si="63">U146/SQRT(SUMSQ($G$146:$G$148))</f>
        <v>1.1872240222758661E-2</v>
      </c>
      <c r="W146" cm="1">
        <f t="array" ref="W146:W148">MMULT($A$146:$C$148,V146:V148)</f>
        <v>3.3093855993569496E-2</v>
      </c>
      <c r="X146">
        <f t="shared" ref="X146" si="64">W146/SQRT(SUMSQ($G$146:$G$148))</f>
        <v>6.8573606045186303E-3</v>
      </c>
      <c r="Y146" cm="1">
        <f t="array" ref="Y146:Y148">MMULT($A$146:$C$148,X146:X148)</f>
        <v>1.9114884814763054E-2</v>
      </c>
      <c r="Z146">
        <f t="shared" ref="Z146:Z148" si="65">Y146/SQRT(SUMSQ($G$146:$G$148))</f>
        <v>3.9607852924161335E-3</v>
      </c>
      <c r="AA146">
        <f>X146/SUM(X146:X148)</f>
        <v>0.3197339918327633</v>
      </c>
      <c r="AC146">
        <f>Z146/SUM($Z$146:$Z$148)</f>
        <v>0.31973399183170131</v>
      </c>
      <c r="AD146">
        <f>AC146</f>
        <v>0.31973399183170131</v>
      </c>
      <c r="AE146">
        <v>0</v>
      </c>
      <c r="AF146">
        <v>0</v>
      </c>
      <c r="AT146">
        <v>29.644489036911985</v>
      </c>
      <c r="AU146">
        <v>-35.724740246568054</v>
      </c>
      <c r="AV146">
        <v>28.067827890365692</v>
      </c>
      <c r="AY146">
        <v>1</v>
      </c>
      <c r="AZ146">
        <v>21.987576680709623</v>
      </c>
      <c r="BA146">
        <f>AZ146/SQRT(SUMSQ($AZ$145:$AZ$147))</f>
        <v>0.65984392248322254</v>
      </c>
      <c r="BB146">
        <v>-54.247807541274952</v>
      </c>
      <c r="BC146">
        <f t="shared" ref="BC146" si="66">BB146/SQRT(SUMSQ($AZ$145:$AZ$147))</f>
        <v>-1.6279686767643629</v>
      </c>
      <c r="BD146">
        <v>134.04951934355591</v>
      </c>
      <c r="BE146">
        <f t="shared" ref="BE146" si="67">BD146/SQRT(SUMSQ($AZ$145:$AZ$147))</f>
        <v>4.0228062389542005</v>
      </c>
      <c r="BF146">
        <v>-331.24374548012474</v>
      </c>
      <c r="BG146">
        <f t="shared" ref="BG146" si="68">BF146/SQRT(SUMSQ($AZ$145:$AZ$147))</f>
        <v>-9.9405757846610356</v>
      </c>
      <c r="BJ146">
        <f>BG146/SUM(BG$145:BG$147)</f>
        <v>-1.627983016204301</v>
      </c>
    </row>
    <row r="147" spans="1:62" x14ac:dyDescent="0.25">
      <c r="A147" s="14">
        <f>A131</f>
        <v>0.85762366280578384</v>
      </c>
      <c r="B147" s="14">
        <f>E131</f>
        <v>1.0000000000000002</v>
      </c>
      <c r="C147" s="14">
        <f>I131</f>
        <v>0.99783560478438982</v>
      </c>
      <c r="F147">
        <v>1</v>
      </c>
      <c r="G147">
        <v>2.8554592675901738</v>
      </c>
      <c r="H147">
        <f>G147/SQRT(SUMSQ($G$146:$G$148))</f>
        <v>0.59167822248290647</v>
      </c>
      <c r="I147">
        <v>1.6510784394907587</v>
      </c>
      <c r="J147">
        <f t="shared" ref="J147" si="69">I147/SQRT(SUMSQ($G$146:$G$148))</f>
        <v>0.34211910054041522</v>
      </c>
      <c r="K147">
        <v>0.95373476848455829</v>
      </c>
      <c r="L147">
        <f t="shared" ref="L147" si="70">K147/SQRT(SUMSQ($G$146:$G$148))</f>
        <v>0.1976228829253539</v>
      </c>
      <c r="M147">
        <v>0.55087700032616083</v>
      </c>
      <c r="N147">
        <f t="shared" ref="N147" si="71">M147/SQRT(SUMSQ($G$146:$G$148))</f>
        <v>0.11414693533162271</v>
      </c>
      <c r="O147">
        <v>0.318184602702002</v>
      </c>
      <c r="P147">
        <f t="shared" ref="P147" si="72">O147/SQRT(SUMSQ($G$146:$G$148))</f>
        <v>6.5930865232419256E-2</v>
      </c>
      <c r="Q147">
        <v>0.18378221783365095</v>
      </c>
      <c r="R147">
        <f t="shared" ref="R147" si="73">Q147/SQRT(SUMSQ($G$146:$G$148))</f>
        <v>3.8081417306838526E-2</v>
      </c>
      <c r="S147">
        <v>0.10615190732987274</v>
      </c>
      <c r="T147">
        <f t="shared" ref="T147" si="74">S147/SQRT(SUMSQ($G$146:$G$148))</f>
        <v>2.1995681239436862E-2</v>
      </c>
      <c r="U147">
        <v>6.1312936223166664E-2</v>
      </c>
      <c r="V147">
        <f t="shared" ref="V147" si="75">U147/SQRT(SUMSQ($G$146:$G$148))</f>
        <v>1.2704621470698473E-2</v>
      </c>
      <c r="W147">
        <v>3.5414117768907474E-2</v>
      </c>
      <c r="X147">
        <f t="shared" ref="X147" si="76">W147/SQRT(SUMSQ($G$146:$G$148))</f>
        <v>7.3381408343433071E-3</v>
      </c>
      <c r="Y147">
        <v>2.0455059153692355E-2</v>
      </c>
      <c r="Z147">
        <f t="shared" si="65"/>
        <v>4.2384821167676476E-3</v>
      </c>
      <c r="AC147">
        <f>Z147/SUM($Z$146:$Z$148)</f>
        <v>0.34215103986985285</v>
      </c>
      <c r="AD147">
        <v>0</v>
      </c>
      <c r="AE147">
        <f>AC147</f>
        <v>0.34215103986985285</v>
      </c>
      <c r="AF147">
        <v>0</v>
      </c>
      <c r="AT147">
        <v>-23.609642308320534</v>
      </c>
      <c r="AU147">
        <v>28.067827890365692</v>
      </c>
      <c r="AV147">
        <v>-21.606264212109792</v>
      </c>
      <c r="AY147">
        <v>1</v>
      </c>
      <c r="AZ147">
        <v>-17.148078630064635</v>
      </c>
      <c r="BA147">
        <f>AZ147/SQRT(SUMSQ($AZ$145:$AZ$147))</f>
        <v>-0.51461130212860706</v>
      </c>
      <c r="BB147">
        <v>42.56603064110454</v>
      </c>
      <c r="BC147">
        <f t="shared" ref="BC147" si="77">BB147/SQRT(SUMSQ($AZ$145:$AZ$147))</f>
        <v>1.2774002806507092</v>
      </c>
      <c r="BD147">
        <v>-105.17982934385645</v>
      </c>
      <c r="BE147">
        <f t="shared" ref="BE147" si="78">BD147/SQRT(SUMSQ($AZ$145:$AZ$147))</f>
        <v>-3.1564311141779871</v>
      </c>
      <c r="BF147">
        <v>259.90522039121441</v>
      </c>
      <c r="BG147">
        <f t="shared" ref="BG147" si="79">BF147/SQRT(SUMSQ($AZ$145:$AZ$147))</f>
        <v>7.7997172033635183</v>
      </c>
      <c r="BJ147">
        <f>BG147/SUM(BG$145:BG$147)</f>
        <v>1.2773713931003745</v>
      </c>
    </row>
    <row r="148" spans="1:62" x14ac:dyDescent="0.25">
      <c r="A148" s="14">
        <f>A136</f>
        <v>0.8224637814474921</v>
      </c>
      <c r="B148" s="14">
        <f>E136</f>
        <v>0.99783560478438982</v>
      </c>
      <c r="C148" s="14">
        <f>I136</f>
        <v>1</v>
      </c>
      <c r="F148">
        <v>1</v>
      </c>
      <c r="G148">
        <v>2.8202993862318819</v>
      </c>
      <c r="H148">
        <f>G148/SQRT(SUMSQ($G$146:$G$148))</f>
        <v>0.58439276184233468</v>
      </c>
      <c r="I148">
        <v>1.6315369992862068</v>
      </c>
      <c r="J148">
        <f t="shared" ref="J148" si="80">I148/SQRT(SUMSQ($G$146:$G$148))</f>
        <v>0.33806992892861243</v>
      </c>
      <c r="K148">
        <v>0.94248148869594528</v>
      </c>
      <c r="L148">
        <f t="shared" ref="L148" si="81">K148/SQRT(SUMSQ($G$146:$G$148))</f>
        <v>0.19529109670167979</v>
      </c>
      <c r="M148">
        <v>0.54437863596877545</v>
      </c>
      <c r="N148">
        <f t="shared" ref="N148" si="82">M148/SQRT(SUMSQ($G$146:$G$148))</f>
        <v>0.11280041264938219</v>
      </c>
      <c r="O148">
        <v>0.31443123773153231</v>
      </c>
      <c r="P148">
        <f t="shared" ref="P148" si="83">O148/SQRT(SUMSQ($G$146:$G$148))</f>
        <v>6.5153132438516947E-2</v>
      </c>
      <c r="Q148">
        <v>0.18161429144485913</v>
      </c>
      <c r="R148">
        <f t="shared" ref="R148" si="84">Q148/SQRT(SUMSQ($G$146:$G$148))</f>
        <v>3.7632202412844727E-2</v>
      </c>
      <c r="S148">
        <v>0.10489972145528234</v>
      </c>
      <c r="T148">
        <f t="shared" ref="T148" si="85">S148/SQRT(SUMSQ($G$146:$G$148))</f>
        <v>2.1736216458795421E-2</v>
      </c>
      <c r="U148">
        <v>6.0589678450503101E-2</v>
      </c>
      <c r="V148">
        <f t="shared" ref="V148" si="86">U148/SQRT(SUMSQ($G$146:$G$148))</f>
        <v>1.2554755605622529E-2</v>
      </c>
      <c r="W148">
        <v>3.4996366842256793E-2</v>
      </c>
      <c r="X148">
        <f t="shared" ref="X148" si="87">W148/SQRT(SUMSQ($G$146:$G$148))</f>
        <v>7.2515788831620312E-3</v>
      </c>
      <c r="Y148">
        <v>2.0213767814133466E-2</v>
      </c>
      <c r="Z148">
        <f t="shared" si="65"/>
        <v>4.1884842644042313E-3</v>
      </c>
      <c r="AC148">
        <f>Z148/SUM($Z$146:$Z$148)</f>
        <v>0.33811496829844595</v>
      </c>
      <c r="AD148">
        <v>0</v>
      </c>
      <c r="AE148">
        <v>0</v>
      </c>
      <c r="AF148">
        <f>AC148</f>
        <v>0.33811496829844595</v>
      </c>
      <c r="AZ148">
        <f>AZ145*AZ145+AZ146*AZ146+AZ147*AZ147</f>
        <v>1110.3816911282142</v>
      </c>
    </row>
    <row r="149" spans="1:62" x14ac:dyDescent="0.25">
      <c r="G149">
        <f>G146*G146+G147*G147+G148*G148</f>
        <v>23.290604965690598</v>
      </c>
      <c r="AZ149">
        <f>SQRT(AZ148)</f>
        <v>33.322390237319624</v>
      </c>
      <c r="BA149">
        <f>BA145/SUM(BA145:BA147)</f>
        <v>1.3610145891584429</v>
      </c>
      <c r="BC149">
        <f>BC145/SUM(BC145:BC147)</f>
        <v>1.3505683961136536</v>
      </c>
      <c r="BE149">
        <f>BE145/SUM(BE145:BE147)</f>
        <v>1.3506119829128844</v>
      </c>
      <c r="BG149">
        <f>BG145/SUM(BG145:BG147)</f>
        <v>1.3506116231039265</v>
      </c>
      <c r="BJ149" cm="1">
        <f t="array" ref="BJ149">MMULT(MMULT(TRANSPOSE(BJ145:BJ147),$AT$140:$AV$142),BJ145:BJ147)</f>
        <v>13.855829650878038</v>
      </c>
    </row>
    <row r="150" spans="1:62" x14ac:dyDescent="0.25">
      <c r="G150">
        <f>SQRT(G149)</f>
        <v>4.8260340825247594</v>
      </c>
      <c r="H150">
        <f>H146/SUM(H146:H148)</f>
        <v>0.32074399322297265</v>
      </c>
      <c r="J150">
        <f>J146/SUM(J146:J148)</f>
        <v>0.31981097053097246</v>
      </c>
      <c r="L150">
        <f>L146/SUM(L146:L148)</f>
        <v>0.31973985861262633</v>
      </c>
      <c r="N150">
        <f>N146/SUM(N146:N148)</f>
        <v>0.31973443895508913</v>
      </c>
      <c r="P150">
        <f>P146/SUM(P146:P148)</f>
        <v>0.31973402590811012</v>
      </c>
      <c r="R150">
        <f>R146/SUM(R146:R148)</f>
        <v>0.31973399442867606</v>
      </c>
      <c r="T150">
        <f>T146/SUM(T146:T148)</f>
        <v>0.31973399202954284</v>
      </c>
      <c r="V150">
        <f>V146/SUM(V146:V148)</f>
        <v>0.31973399184669837</v>
      </c>
      <c r="X150">
        <f>X146/SUM(X146:X148)</f>
        <v>0.3197339918327633</v>
      </c>
      <c r="Z150">
        <f>Z146/SUM(Z146:Z148)</f>
        <v>0.31973399183170131</v>
      </c>
    </row>
    <row r="151" spans="1:62" x14ac:dyDescent="0.25">
      <c r="A151" t="s">
        <v>203</v>
      </c>
      <c r="AC151" t="s">
        <v>111</v>
      </c>
    </row>
    <row r="152" spans="1:62" x14ac:dyDescent="0.25">
      <c r="A152" s="14">
        <f>A61</f>
        <v>4.6998461442465462</v>
      </c>
      <c r="B152" s="14">
        <f>E61</f>
        <v>5.0008761472810725</v>
      </c>
      <c r="C152" s="14">
        <f>I61</f>
        <v>5.1017685503914025</v>
      </c>
      <c r="F152">
        <v>1</v>
      </c>
      <c r="G152" cm="1">
        <f t="array" ref="G152:G154">MMULT($A$152:$C$154,F152:F154)</f>
        <v>14.80249084191902</v>
      </c>
      <c r="H152">
        <f>G152/SQRT(SUMSQ($G$152:$G$154))</f>
        <v>0.49961318616579259</v>
      </c>
      <c r="I152" cm="1">
        <f t="array" ref="I152:I154">MMULT($A$152:$C$154,H152:H154)</f>
        <v>8.5364959841015668</v>
      </c>
      <c r="J152">
        <f>I152/SQRT(SUMSQ($G$152:$G$154))</f>
        <v>0.28812353291451603</v>
      </c>
      <c r="K152" cm="1">
        <f t="array" ref="K152:K154">MMULT($A$152:$C$154,J152:J154)</f>
        <v>4.9506211888316969</v>
      </c>
      <c r="L152">
        <f>K152/SQRT(SUMSQ($G$152:$G$154))</f>
        <v>0.16709320424963242</v>
      </c>
      <c r="M152" cm="1">
        <f t="array" ref="M152:M154">MMULT($A$152:$C$154,L152:L154)</f>
        <v>2.871622676003228</v>
      </c>
      <c r="N152">
        <f>M152/SQRT(SUMSQ($G$152:$G$154))</f>
        <v>9.692291452469598E-2</v>
      </c>
      <c r="O152" cm="1">
        <f t="array" ref="O152:O154">MMULT($A$152:$C$154,N152:N154)</f>
        <v>1.6657054041678969</v>
      </c>
      <c r="P152">
        <f>O152/SQRT(SUMSQ($G$152:$G$154))</f>
        <v>5.6220834255352486E-2</v>
      </c>
      <c r="Q152" cm="1">
        <f t="array" ref="Q152:Q154">MMULT($A$152:$C$154,P152:P154)</f>
        <v>0.96620466078466705</v>
      </c>
      <c r="R152">
        <f>Q152/SQRT(SUMSQ($G$152:$G$154))</f>
        <v>3.2611308070924945E-2</v>
      </c>
      <c r="S152" cm="1">
        <f t="array" ref="S152:S154">MMULT($A$152:$C$154,R152:R154)</f>
        <v>0.56045411924309296</v>
      </c>
      <c r="T152">
        <f>S152/SQRT(SUMSQ($G$152:$G$154))</f>
        <v>1.8916429079748293E-2</v>
      </c>
      <c r="U152" cm="1">
        <f t="array" ref="U152:U154">MMULT($A$152:$C$154,T152:T154)</f>
        <v>0.32509553372089262</v>
      </c>
      <c r="V152">
        <f>U152/SQRT(SUMSQ($G$152:$G$154))</f>
        <v>1.0972613808387086E-2</v>
      </c>
      <c r="W152" cm="1">
        <f t="array" ref="W152:W154">MMULT($A$152:$C$154,V152:V154)</f>
        <v>0.18857405524875137</v>
      </c>
      <c r="X152">
        <f>W152/SQRT(SUMSQ($G$152:$G$154))</f>
        <v>6.3647453376041952E-3</v>
      </c>
      <c r="Y152" cm="1">
        <f t="array" ref="Y152:Y154">MMULT($A$152:$C$154,X152:X154)</f>
        <v>0.10938376761430449</v>
      </c>
      <c r="Z152">
        <f>Y152/SQRT(SUMSQ($G$152:$G$154))</f>
        <v>3.691917342575869E-3</v>
      </c>
      <c r="AA152">
        <f>X152/SUM(X152:X154)</f>
        <v>0.28806448039201349</v>
      </c>
      <c r="AC152">
        <f>Z152/SUM($Z$152:$Z$154)</f>
        <v>0.28806448039200916</v>
      </c>
      <c r="AD152">
        <f>AC152</f>
        <v>0.28806448039200916</v>
      </c>
      <c r="AE152">
        <v>0</v>
      </c>
      <c r="AF152">
        <v>0</v>
      </c>
    </row>
    <row r="153" spans="1:62" x14ac:dyDescent="0.25">
      <c r="A153" s="14">
        <f>A66</f>
        <v>5.0008761472810725</v>
      </c>
      <c r="B153" s="14">
        <f>E66</f>
        <v>6.3305932194185948</v>
      </c>
      <c r="C153" s="14">
        <f>I66</f>
        <v>6.5334194267584671</v>
      </c>
      <c r="F153">
        <v>1</v>
      </c>
      <c r="G153">
        <v>17.864888793458135</v>
      </c>
      <c r="H153">
        <f>G153/SQRT(SUMSQ($G$152:$G$154))</f>
        <v>0.6029751415431418</v>
      </c>
      <c r="I153">
        <v>10.379079848418344</v>
      </c>
      <c r="J153">
        <f>I153/SQRT(SUMSQ($G$152:$G$154))</f>
        <v>0.35031436316465236</v>
      </c>
      <c r="K153">
        <v>6.0208047090736727</v>
      </c>
      <c r="L153">
        <f>K153/SQRT(SUMSQ($G$152:$G$154))</f>
        <v>0.20321400338001044</v>
      </c>
      <c r="M153">
        <v>3.4924191902466939</v>
      </c>
      <c r="N153">
        <f>M153/SQRT(SUMSQ($G$152:$G$154))</f>
        <v>0.11787601814449099</v>
      </c>
      <c r="O153">
        <v>2.0258035847967655</v>
      </c>
      <c r="P153">
        <f>O153/SQRT(SUMSQ($G$152:$G$154))</f>
        <v>6.8374856255961292E-2</v>
      </c>
      <c r="Q153">
        <v>1.1750822712165903</v>
      </c>
      <c r="R153">
        <f>Q153/SQRT(SUMSQ($G$152:$G$154))</f>
        <v>3.9661338338199965E-2</v>
      </c>
      <c r="S153">
        <v>0.68161511362214489</v>
      </c>
      <c r="T153">
        <f>S153/SQRT(SUMSQ($G$152:$G$154))</f>
        <v>2.3005850994424249E-2</v>
      </c>
      <c r="U153">
        <v>0.39537585959396943</v>
      </c>
      <c r="V153">
        <f>U153/SQRT(SUMSQ($G$152:$G$154))</f>
        <v>1.3344713065816249E-2</v>
      </c>
      <c r="W153">
        <v>0.22934067514796644</v>
      </c>
      <c r="X153">
        <f>W153/SQRT(SUMSQ($G$152:$G$154))</f>
        <v>7.7406989574759274E-3</v>
      </c>
      <c r="Y153">
        <v>0.13303074530481823</v>
      </c>
      <c r="Z153">
        <f>Y153/SQRT(SUMSQ($G$152:$G$154))</f>
        <v>4.4900493592289091E-3</v>
      </c>
      <c r="AC153">
        <f>Z153/SUM($Z$152:$Z$154)</f>
        <v>0.35033929949751291</v>
      </c>
      <c r="AD153">
        <v>0</v>
      </c>
      <c r="AE153">
        <f>AC153</f>
        <v>0.35033929949751291</v>
      </c>
      <c r="AF153">
        <v>0</v>
      </c>
    </row>
    <row r="154" spans="1:62" x14ac:dyDescent="0.25">
      <c r="A154" s="14">
        <f>A71</f>
        <v>5.1017685503914034</v>
      </c>
      <c r="B154" s="14">
        <f>E71</f>
        <v>6.5334194267584671</v>
      </c>
      <c r="C154" s="14">
        <f>I71</f>
        <v>6.7915488108954891</v>
      </c>
      <c r="F154">
        <v>1</v>
      </c>
      <c r="G154">
        <v>18.426736788045361</v>
      </c>
      <c r="H154">
        <f>G154/SQRT(SUMSQ($G$152:$G$154))</f>
        <v>0.62193861665786065</v>
      </c>
      <c r="I154">
        <v>10.712326816564564</v>
      </c>
      <c r="J154">
        <f>I154/SQRT(SUMSQ($G$152:$G$154))</f>
        <v>0.36156210392083171</v>
      </c>
      <c r="K154">
        <v>6.2142569215717964</v>
      </c>
      <c r="L154">
        <f>K154/SQRT(SUMSQ($G$152:$G$154))</f>
        <v>0.20974339612135259</v>
      </c>
      <c r="M154">
        <v>3.6046356844183767</v>
      </c>
      <c r="N154">
        <f>M154/SQRT(SUMSQ($G$152:$G$154))</f>
        <v>0.12166354558106944</v>
      </c>
      <c r="O154">
        <v>2.0908956523489604</v>
      </c>
      <c r="P154">
        <f>O154/SQRT(SUMSQ($G$152:$G$154))</f>
        <v>7.0571841588441653E-2</v>
      </c>
      <c r="Q154">
        <v>1.2128394050679261</v>
      </c>
      <c r="R154">
        <f>Q154/SQRT(SUMSQ($G$152:$G$154))</f>
        <v>4.0935715883533993E-2</v>
      </c>
      <c r="S154">
        <v>0.70351641682537713</v>
      </c>
      <c r="T154">
        <f>S154/SQRT(SUMSQ($G$152:$G$154))</f>
        <v>2.3745063062947401E-2</v>
      </c>
      <c r="U154">
        <v>0.40807987159065007</v>
      </c>
      <c r="V154">
        <f>U154/SQRT(SUMSQ($G$152:$G$154))</f>
        <v>1.3773498462715521E-2</v>
      </c>
      <c r="W154">
        <v>0.23670973073826757</v>
      </c>
      <c r="X154">
        <f>W154/SQRT(SUMSQ($G$152:$G$154))</f>
        <v>7.9894190804485482E-3</v>
      </c>
      <c r="Y154">
        <v>0.13730522019566771</v>
      </c>
      <c r="Z154">
        <f>Y154/SQRT(SUMSQ($G$152:$G$154))</f>
        <v>4.6343212957705108E-3</v>
      </c>
      <c r="AC154">
        <f>Z154/SUM($Z$152:$Z$154)</f>
        <v>0.36159622011047793</v>
      </c>
      <c r="AD154">
        <v>0</v>
      </c>
      <c r="AE154">
        <v>0</v>
      </c>
      <c r="AF154">
        <f>AC154</f>
        <v>0.36159622011047793</v>
      </c>
    </row>
    <row r="155" spans="1:62" x14ac:dyDescent="0.25">
      <c r="G155">
        <f>G152*G152+G153*G153+G154*G154</f>
        <v>877.81261538362673</v>
      </c>
    </row>
    <row r="156" spans="1:62" x14ac:dyDescent="0.25">
      <c r="G156">
        <f>SQRT(G155)</f>
        <v>29.627902649084472</v>
      </c>
      <c r="H156">
        <f>H152/SUM(H152:H154)</f>
        <v>0.28971028130223769</v>
      </c>
      <c r="J156">
        <f>J152/SUM(J152:J154)</f>
        <v>0.28812353291451603</v>
      </c>
      <c r="L156">
        <f>L152/SUM(L152:L154)</f>
        <v>0.2880665982745228</v>
      </c>
      <c r="N156">
        <f>N152/SUM(N152:N154)</f>
        <v>0.28806455634736772</v>
      </c>
      <c r="P156">
        <f>P152/SUM(P152:P154)</f>
        <v>0.28806448311605687</v>
      </c>
      <c r="R156">
        <f>R152/SUM(R152:R154)</f>
        <v>0.28806448048970368</v>
      </c>
      <c r="T156">
        <f>T152/SUM(T152:T154)</f>
        <v>0.28806448039551269</v>
      </c>
      <c r="V156">
        <f>V152/SUM(V152:V154)</f>
        <v>0.28806448039213461</v>
      </c>
      <c r="X156">
        <f>X152/SUM(X152:X154)</f>
        <v>0.28806448039201349</v>
      </c>
      <c r="Z156">
        <f>Z152/SUM(Z152:Z154)</f>
        <v>0.28806448039200916</v>
      </c>
    </row>
    <row r="157" spans="1:62" x14ac:dyDescent="0.25">
      <c r="A157" t="s">
        <v>204</v>
      </c>
    </row>
    <row r="158" spans="1:62" x14ac:dyDescent="0.25">
      <c r="A158" s="14">
        <f>A73</f>
        <v>1.0000000000000002</v>
      </c>
      <c r="B158" s="14">
        <f>E73</f>
        <v>0.91681576858937086</v>
      </c>
      <c r="C158" s="14">
        <f>I73</f>
        <v>0.90301407305509662</v>
      </c>
      <c r="F158">
        <v>1</v>
      </c>
      <c r="G158" cm="1">
        <f t="array" ref="G158:G160">MMULT($A$158:$C$160,F158:F160)</f>
        <v>2.8198298416444674</v>
      </c>
      <c r="H158">
        <f>G158/SQRT(SUMSQ($G$158:$G$160))</f>
        <v>0.56572387095022025</v>
      </c>
      <c r="I158" cm="1">
        <f t="array" ref="I158:I160">MMULT($A$158:$C$160,H158:H160)</f>
        <v>1.6268400743660729</v>
      </c>
      <c r="J158">
        <f>I158/SQRT(SUMSQ($G$158:$G$160))</f>
        <v>0.32638219891686587</v>
      </c>
      <c r="K158" cm="1">
        <f t="array" ref="K158:K160">MMULT($A$158:$C$160,J158:J160)</f>
        <v>0.93932791073583299</v>
      </c>
      <c r="L158">
        <f>K158/SQRT(SUMSQ($G$158:$G$160))</f>
        <v>0.18845116606155091</v>
      </c>
      <c r="M158" cm="1">
        <f t="array" ref="M158:M160">MMULT($A$158:$C$160,L158:L160)</f>
        <v>0.54238049816872913</v>
      </c>
      <c r="N158">
        <f>M158/SQRT(SUMSQ($G$158:$G$160))</f>
        <v>0.10881422361747219</v>
      </c>
      <c r="O158" cm="1">
        <f t="array" ref="O158:O160">MMULT($A$158:$C$160,N158:N160)</f>
        <v>0.31317818449536372</v>
      </c>
      <c r="P158">
        <f>O158/SQRT(SUMSQ($G$158:$G$160))</f>
        <v>6.2830874478069954E-2</v>
      </c>
      <c r="Q158" cm="1">
        <f t="array" ref="Q158:Q160">MMULT($A$158:$C$160,P158:P160)</f>
        <v>0.18083353135150163</v>
      </c>
      <c r="R158">
        <f>Q158/SQRT(SUMSQ($G$158:$G$160))</f>
        <v>3.6279439221094688E-2</v>
      </c>
      <c r="S158" cm="1">
        <f t="array" ref="S158:S160">MMULT($A$158:$C$160,R158:R160)</f>
        <v>0.10441584936873774</v>
      </c>
      <c r="T158">
        <f>S158/SQRT(SUMSQ($G$158:$G$160))</f>
        <v>2.0948263480674665E-2</v>
      </c>
      <c r="U158" cm="1">
        <f t="array" ref="U158:U160">MMULT($A$158:$C$160,T158:T160)</f>
        <v>6.0291194442583192E-2</v>
      </c>
      <c r="V158">
        <f>U158/SQRT(SUMSQ($G$158:$G$160))</f>
        <v>1.2095824861680085E-2</v>
      </c>
      <c r="W158" cm="1">
        <f t="array" ref="W158:W160">MMULT($A$158:$C$160,V158:V160)</f>
        <v>3.481299198640881E-2</v>
      </c>
      <c r="X158">
        <f>W158/SQRT(SUMSQ($G$158:$G$160))</f>
        <v>6.9843010720195562E-3</v>
      </c>
      <c r="Y158" cm="1">
        <f t="array" ref="Y158:Y160">MMULT($A$158:$C$160,X158:X160)</f>
        <v>2.0101516021549869E-2</v>
      </c>
      <c r="Z158">
        <f>Y158/SQRT(SUMSQ($G$158:$G$160))</f>
        <v>4.0328346369464608E-3</v>
      </c>
      <c r="AA158">
        <f>X158/SUM(X158:X160)</f>
        <v>0.32637048307042116</v>
      </c>
      <c r="AC158">
        <f>Z158/SUM($Z$158:$Z$160)</f>
        <v>0.32637048307041888</v>
      </c>
      <c r="AD158">
        <f>AC158</f>
        <v>0.32637048307041888</v>
      </c>
      <c r="AE158">
        <v>0</v>
      </c>
      <c r="AF158">
        <v>0</v>
      </c>
    </row>
    <row r="159" spans="1:62" x14ac:dyDescent="0.25">
      <c r="A159" s="14">
        <f>A78</f>
        <v>0.91681576858937086</v>
      </c>
      <c r="B159" s="14">
        <f>E78</f>
        <v>0.99999999999999989</v>
      </c>
      <c r="C159" s="14">
        <f>I78</f>
        <v>0.99640046664270443</v>
      </c>
      <c r="F159">
        <v>1</v>
      </c>
      <c r="G159">
        <v>2.913216235232075</v>
      </c>
      <c r="H159">
        <f>G159/SQRT(SUMSQ($G$158:$G$160))</f>
        <v>0.58445936743097671</v>
      </c>
      <c r="I159">
        <v>1.6827205431456838</v>
      </c>
      <c r="J159">
        <f>I159/SQRT(SUMSQ($G$158:$G$160))</f>
        <v>0.33759312896719768</v>
      </c>
      <c r="K159">
        <v>0.9716406156208337</v>
      </c>
      <c r="L159">
        <f>K159/SQRT(SUMSQ($G$158:$G$160))</f>
        <v>0.19493385101595728</v>
      </c>
      <c r="M159">
        <v>0.56103942245631289</v>
      </c>
      <c r="N159">
        <f>M159/SQRT(SUMSQ($G$158:$G$160))</f>
        <v>0.1125576405853496</v>
      </c>
      <c r="O159">
        <v>0.32395213885289964</v>
      </c>
      <c r="P159">
        <f>O159/SQRT(SUMSQ($G$158:$G$160))</f>
        <v>6.4992381911806341E-2</v>
      </c>
      <c r="Q159">
        <v>0.18705456625098646</v>
      </c>
      <c r="R159">
        <f>Q159/SQRT(SUMSQ($G$158:$G$160))</f>
        <v>3.7527524439811479E-2</v>
      </c>
      <c r="S159">
        <v>0.10800796329205069</v>
      </c>
      <c r="T159">
        <f>S159/SQRT(SUMSQ($G$158:$G$160))</f>
        <v>2.1668925615523794E-2</v>
      </c>
      <c r="U159">
        <v>6.2365332041023278E-2</v>
      </c>
      <c r="V159">
        <f>U159/SQRT(SUMSQ($G$158:$G$160))</f>
        <v>1.2511945413971505E-2</v>
      </c>
      <c r="W159">
        <v>3.6010628494713467E-2</v>
      </c>
      <c r="X159">
        <f>W159/SQRT(SUMSQ($G$158:$G$160))</f>
        <v>7.2245749890706267E-3</v>
      </c>
      <c r="Y159">
        <v>2.079304835146524E-2</v>
      </c>
      <c r="Z159">
        <f>Y159/SQRT(SUMSQ($G$158:$G$160))</f>
        <v>4.1715722092599732E-3</v>
      </c>
      <c r="AC159">
        <f>Z159/SUM($Z$158:$Z$160)</f>
        <v>0.33759828003515208</v>
      </c>
      <c r="AD159">
        <v>0</v>
      </c>
      <c r="AE159">
        <f>AC159</f>
        <v>0.33759828003515208</v>
      </c>
      <c r="AF159">
        <v>0</v>
      </c>
    </row>
    <row r="160" spans="1:62" x14ac:dyDescent="0.25">
      <c r="A160" s="14">
        <f>A83</f>
        <v>0.90301407305509673</v>
      </c>
      <c r="B160" s="14">
        <f>E83</f>
        <v>0.99640046664270443</v>
      </c>
      <c r="C160" s="14">
        <f>I83</f>
        <v>1</v>
      </c>
      <c r="F160">
        <v>1</v>
      </c>
      <c r="G160">
        <v>2.8994145396978013</v>
      </c>
      <c r="H160">
        <f>G160/SQRT(SUMSQ($G$158:$G$160))</f>
        <v>0.58169042424581907</v>
      </c>
      <c r="I160">
        <v>1.6749026276189984</v>
      </c>
      <c r="J160">
        <f>I160/SQRT(SUMSQ($G$158:$G$160))</f>
        <v>0.3360246721159364</v>
      </c>
      <c r="K160">
        <v>0.96713034217082061</v>
      </c>
      <c r="L160">
        <f>K160/SQRT(SUMSQ($G$158:$G$160))</f>
        <v>0.19402898458837972</v>
      </c>
      <c r="M160">
        <v>0.55843521974236243</v>
      </c>
      <c r="N160">
        <f>M160/SQRT(SUMSQ($G$158:$G$160))</f>
        <v>0.11203517656347232</v>
      </c>
      <c r="O160">
        <v>0.32244843744205814</v>
      </c>
      <c r="P160">
        <f>O160/SQRT(SUMSQ($G$158:$G$160))</f>
        <v>6.4690704211141092E-2</v>
      </c>
      <c r="Q160">
        <v>0.18618630775234127</v>
      </c>
      <c r="R160">
        <f>Q160/SQRT(SUMSQ($G$158:$G$160))</f>
        <v>3.7353331461361217E-2</v>
      </c>
      <c r="S160">
        <v>0.10750661850433041</v>
      </c>
      <c r="T160">
        <f>S160/SQRT(SUMSQ($G$158:$G$160))</f>
        <v>2.1568344115959117E-2</v>
      </c>
      <c r="U160">
        <v>6.2075848440028447E-2</v>
      </c>
      <c r="V160">
        <f>U160/SQRT(SUMSQ($G$158:$G$160))</f>
        <v>1.2453868227570818E-2</v>
      </c>
      <c r="W160">
        <v>3.5843476551966909E-2</v>
      </c>
      <c r="X160">
        <f>W160/SQRT(SUMSQ($G$158:$G$160))</f>
        <v>7.1910403967732819E-3</v>
      </c>
      <c r="Y160">
        <v>2.0696532445665924E-2</v>
      </c>
      <c r="Z160">
        <f>Y160/SQRT(SUMSQ($G$158:$G$160))</f>
        <v>4.1522088593759906E-3</v>
      </c>
      <c r="AC160">
        <f>Z160/SUM($Z$158:$Z$160)</f>
        <v>0.3360312368944291</v>
      </c>
      <c r="AD160">
        <v>0</v>
      </c>
      <c r="AE160">
        <v>0</v>
      </c>
      <c r="AF160">
        <f>AC160</f>
        <v>0.3360312368944291</v>
      </c>
    </row>
    <row r="161" spans="1:26" x14ac:dyDescent="0.25">
      <c r="G161">
        <f>G158*G158+G159*G159+G160*G160</f>
        <v>24.844873842059421</v>
      </c>
    </row>
    <row r="162" spans="1:26" x14ac:dyDescent="0.25">
      <c r="G162">
        <f>SQRT(G161)</f>
        <v>4.9844632451307556</v>
      </c>
      <c r="H162">
        <f>H158/SUM(H158:H160)</f>
        <v>0.32665423763768908</v>
      </c>
      <c r="J162">
        <f>J158/SUM(J158:J160)</f>
        <v>0.32638219891686587</v>
      </c>
      <c r="L162">
        <f>L158/SUM(L158:L160)</f>
        <v>0.32637096696279183</v>
      </c>
      <c r="N162">
        <f>N158/SUM(N158:N160)</f>
        <v>0.32637050305649329</v>
      </c>
      <c r="P162">
        <f>P158/SUM(P158:P160)</f>
        <v>0.32637048389589834</v>
      </c>
      <c r="R162">
        <f>R158/SUM(R158:R160)</f>
        <v>0.32637048310451339</v>
      </c>
      <c r="T162">
        <f>T158/SUM(T158:T160)</f>
        <v>0.32637048307182703</v>
      </c>
      <c r="V162">
        <f>V158/SUM(V158:V160)</f>
        <v>0.32637048307047689</v>
      </c>
      <c r="X162">
        <f>X158/SUM(X158:X160)</f>
        <v>0.32637048307042116</v>
      </c>
      <c r="Z162">
        <f>Z158/SUM(Z158:Z160)</f>
        <v>0.32637048307041888</v>
      </c>
    </row>
    <row r="165" spans="1:26" x14ac:dyDescent="0.25">
      <c r="A165" t="s">
        <v>191</v>
      </c>
      <c r="B165" t="s">
        <v>192</v>
      </c>
    </row>
    <row r="166" spans="1:26" x14ac:dyDescent="0.25">
      <c r="A166" t="s">
        <v>193</v>
      </c>
      <c r="B166">
        <v>17.1859</v>
      </c>
      <c r="D166" cm="1">
        <f t="array" ref="D166:D168">(B166*_xlfn.ANCHORARRAY(K152))/10</f>
        <v>8.5080880689142653</v>
      </c>
      <c r="F166" cm="1">
        <f t="array" ref="F166:F168">B166*AC140:AC142</f>
        <v>4.8020865255776126</v>
      </c>
    </row>
    <row r="167" spans="1:26" x14ac:dyDescent="0.25">
      <c r="A167" t="s">
        <v>194</v>
      </c>
      <c r="B167">
        <v>295.73480000000001</v>
      </c>
      <c r="D167">
        <v>10.347294764966923</v>
      </c>
      <c r="F167">
        <v>6.1109772389404702</v>
      </c>
    </row>
    <row r="168" spans="1:26" x14ac:dyDescent="0.25">
      <c r="A168" t="s">
        <v>195</v>
      </c>
      <c r="B168">
        <v>0.38030000000000003</v>
      </c>
      <c r="D168">
        <v>10.679759802844073</v>
      </c>
      <c r="F168">
        <v>6.2728362354819156</v>
      </c>
    </row>
    <row r="169" spans="1:26" x14ac:dyDescent="0.25">
      <c r="A169" t="s">
        <v>196</v>
      </c>
      <c r="B169">
        <v>1.2999999999999999E-3</v>
      </c>
    </row>
    <row r="170" spans="1:26" x14ac:dyDescent="0.25">
      <c r="A170" t="s">
        <v>197</v>
      </c>
      <c r="B170" t="s">
        <v>198</v>
      </c>
    </row>
    <row r="171" spans="1:26" x14ac:dyDescent="0.25">
      <c r="A171" t="s">
        <v>199</v>
      </c>
      <c r="B171">
        <v>27.883299999999998</v>
      </c>
    </row>
    <row r="173" spans="1:26" ht="15.75" x14ac:dyDescent="0.25">
      <c r="A173" s="17" t="s">
        <v>205</v>
      </c>
      <c r="B173" s="17" t="s">
        <v>206</v>
      </c>
      <c r="C173" s="17" t="s">
        <v>207</v>
      </c>
      <c r="D173" s="17" t="s">
        <v>211</v>
      </c>
      <c r="E173" s="17" t="s">
        <v>212</v>
      </c>
    </row>
    <row r="174" spans="1:26" ht="15.75" x14ac:dyDescent="0.25">
      <c r="A174" s="17" t="s">
        <v>208</v>
      </c>
      <c r="B174" s="17">
        <v>0.49659999999999999</v>
      </c>
      <c r="C174" s="17">
        <v>0.64039999999999997</v>
      </c>
      <c r="D174">
        <f>B174*$B$166</f>
        <v>8.5345179400000006</v>
      </c>
      <c r="E174">
        <f t="shared" ref="E174:E176" si="88">C174*$B$166</f>
        <v>11.00585036</v>
      </c>
    </row>
    <row r="175" spans="1:26" ht="15.75" x14ac:dyDescent="0.25">
      <c r="A175" s="17" t="s">
        <v>209</v>
      </c>
      <c r="B175" s="17">
        <v>0.60399999999999998</v>
      </c>
      <c r="C175" s="17">
        <v>0.57020000000000004</v>
      </c>
      <c r="D175">
        <f t="shared" ref="D175:D176" si="89">B175*$B$166</f>
        <v>10.3802836</v>
      </c>
      <c r="E175">
        <f t="shared" si="88"/>
        <v>9.799400180000001</v>
      </c>
    </row>
    <row r="176" spans="1:26" ht="15.75" x14ac:dyDescent="0.25">
      <c r="A176" s="17" t="s">
        <v>210</v>
      </c>
      <c r="B176" s="17">
        <v>0.62339999999999995</v>
      </c>
      <c r="C176" s="17">
        <v>0.51449999999999996</v>
      </c>
      <c r="D176">
        <f t="shared" si="89"/>
        <v>10.713690059999999</v>
      </c>
      <c r="E176">
        <f t="shared" si="88"/>
        <v>8.8421455499999997</v>
      </c>
    </row>
    <row r="182" spans="2:15" x14ac:dyDescent="0.25">
      <c r="B182">
        <v>1.2</v>
      </c>
      <c r="C182">
        <v>-0.8</v>
      </c>
      <c r="D182">
        <v>0.5</v>
      </c>
      <c r="E182">
        <v>600000</v>
      </c>
      <c r="G182">
        <f>E182/SUM(E182:E183)</f>
        <v>0.6</v>
      </c>
      <c r="H182">
        <v>0</v>
      </c>
      <c r="J182">
        <f>SQRT(G182)</f>
        <v>0.7745966692414834</v>
      </c>
      <c r="K182">
        <f t="shared" ref="K182:K183" si="90">SQRT(H182)</f>
        <v>0</v>
      </c>
    </row>
    <row r="183" spans="2:15" x14ac:dyDescent="0.25">
      <c r="B183">
        <v>-1</v>
      </c>
      <c r="C183">
        <v>0.5</v>
      </c>
      <c r="D183">
        <v>-0.4</v>
      </c>
      <c r="E183">
        <v>400000</v>
      </c>
      <c r="G183">
        <v>0</v>
      </c>
      <c r="H183">
        <f>E183/SUM(E182:E183)</f>
        <v>0.4</v>
      </c>
      <c r="J183">
        <f t="shared" ref="J183" si="91">SQRT(G183)</f>
        <v>0</v>
      </c>
      <c r="K183">
        <f t="shared" si="90"/>
        <v>0.63245553203367588</v>
      </c>
    </row>
    <row r="185" spans="2:15" x14ac:dyDescent="0.25">
      <c r="B185">
        <v>1.4</v>
      </c>
      <c r="C185">
        <v>-0.9</v>
      </c>
      <c r="D185">
        <v>0.6</v>
      </c>
    </row>
    <row r="186" spans="2:15" x14ac:dyDescent="0.25">
      <c r="B186">
        <v>-0.8</v>
      </c>
      <c r="C186">
        <v>0.4</v>
      </c>
      <c r="D186">
        <v>-0.3</v>
      </c>
    </row>
    <row r="188" spans="2:15" x14ac:dyDescent="0.25">
      <c r="B188" cm="1">
        <f t="array" ref="B188:C189">MMULT(MMULT(MMULT(J182:K183,B182:D183),TRANSPOSE(B182:D183)),J182:K183)</f>
        <v>1.3980000000000001</v>
      </c>
      <c r="C188">
        <v>-0.88181630740194428</v>
      </c>
      <c r="E188">
        <f>B188^2</f>
        <v>1.9544040000000005</v>
      </c>
      <c r="F188">
        <f t="shared" ref="F188:F189" si="92">C188^2</f>
        <v>0.77760000000000029</v>
      </c>
      <c r="H188">
        <f>SUMPRODUCT(E188:F189)</f>
        <v>3.8277000000000005</v>
      </c>
      <c r="J188">
        <v>3.8277000000000005</v>
      </c>
      <c r="K188">
        <v>4.2604680000000013</v>
      </c>
    </row>
    <row r="189" spans="2:15" x14ac:dyDescent="0.25">
      <c r="B189">
        <v>-0.88181630740194406</v>
      </c>
      <c r="C189">
        <v>0.56400000000000006</v>
      </c>
      <c r="E189">
        <f t="shared" ref="E189" si="93">B189^2</f>
        <v>0.77759999999999985</v>
      </c>
      <c r="F189">
        <f t="shared" si="92"/>
        <v>0.31809600000000005</v>
      </c>
      <c r="J189">
        <v>4.2604680000000013</v>
      </c>
      <c r="K189">
        <v>4.9763080000000004</v>
      </c>
    </row>
    <row r="190" spans="2:15" x14ac:dyDescent="0.25">
      <c r="K190" t="s">
        <v>214</v>
      </c>
      <c r="L190">
        <f>SUMPRODUCT(J188:K189,_xlfn.MUNIT(2))</f>
        <v>8.8040080000000014</v>
      </c>
      <c r="N190" t="s">
        <v>213</v>
      </c>
      <c r="O190">
        <f>(L190+SQRT(L190^2-4*L191))/2</f>
        <v>8.7010053565292136</v>
      </c>
    </row>
    <row r="191" spans="2:15" x14ac:dyDescent="0.25">
      <c r="B191" cm="1">
        <f t="array" ref="B191:C192">MMULT(MMULT(MMULT(J182:K183,B185:D186),TRANSPOSE(B185:D186)),J182:K183)</f>
        <v>1.8780000000000001</v>
      </c>
      <c r="C191">
        <v>-0.81323059460401514</v>
      </c>
      <c r="E191">
        <f t="shared" ref="E191:E192" si="94">B191^2</f>
        <v>3.5268840000000004</v>
      </c>
      <c r="F191">
        <f t="shared" ref="F191:F192" si="95">C191^2</f>
        <v>0.66134400000000004</v>
      </c>
      <c r="H191">
        <f>SUMPRODUCT(E191:F192)</f>
        <v>4.9763080000000004</v>
      </c>
      <c r="K191" t="s">
        <v>215</v>
      </c>
      <c r="L191">
        <f>J188*K189-J189*K188</f>
        <v>0.89622655257599249</v>
      </c>
    </row>
    <row r="192" spans="2:15" x14ac:dyDescent="0.25">
      <c r="B192">
        <v>-0.81323059460401526</v>
      </c>
      <c r="C192">
        <v>0.35600000000000009</v>
      </c>
      <c r="E192">
        <f t="shared" si="94"/>
        <v>0.66134400000000015</v>
      </c>
      <c r="F192">
        <f t="shared" si="95"/>
        <v>0.12673600000000007</v>
      </c>
    </row>
    <row r="193" spans="2:16" x14ac:dyDescent="0.25">
      <c r="J193">
        <f>J188-O190</f>
        <v>-4.8733053565292135</v>
      </c>
      <c r="K193">
        <f>K188</f>
        <v>4.2604680000000013</v>
      </c>
    </row>
    <row r="194" spans="2:16" x14ac:dyDescent="0.25">
      <c r="B194">
        <f>B188*B191</f>
        <v>2.6254440000000003</v>
      </c>
      <c r="C194">
        <f t="shared" ref="C194:C195" si="96">C188*C191</f>
        <v>0.71712000000000009</v>
      </c>
      <c r="H194">
        <f>SUMPRODUCT(B194:C195)</f>
        <v>4.2604680000000013</v>
      </c>
      <c r="J194">
        <f>J189</f>
        <v>4.2604680000000013</v>
      </c>
      <c r="K194">
        <f>K189-O190</f>
        <v>-3.7246973565292132</v>
      </c>
    </row>
    <row r="195" spans="2:16" x14ac:dyDescent="0.25">
      <c r="B195">
        <f t="shared" ref="B195" si="97">B189*B192</f>
        <v>0.71712000000000009</v>
      </c>
      <c r="C195">
        <f t="shared" si="96"/>
        <v>0.20078400000000007</v>
      </c>
    </row>
    <row r="196" spans="2:16" x14ac:dyDescent="0.25">
      <c r="J196" t="str">
        <f>J193&amp;" * u11 + "&amp;J194&amp;" * u12"</f>
        <v>-4.87330535652921 * u11 + 4.260468 * u12</v>
      </c>
    </row>
    <row r="197" spans="2:16" x14ac:dyDescent="0.25">
      <c r="J197" t="s">
        <v>217</v>
      </c>
      <c r="K197">
        <f>-(J194)/J193</f>
        <v>0.87424605853845416</v>
      </c>
      <c r="L197" t="s">
        <v>220</v>
      </c>
    </row>
    <row r="198" spans="2:16" x14ac:dyDescent="0.25">
      <c r="J198" t="s">
        <v>216</v>
      </c>
    </row>
    <row r="199" spans="2:16" x14ac:dyDescent="0.25">
      <c r="J199" t="str">
        <f>K197&amp;"^2 u12^2 + u12^2 = 1"</f>
        <v>0.874246058538454^2 u12^2 + u12^2 = 1</v>
      </c>
    </row>
    <row r="200" spans="2:16" x14ac:dyDescent="0.25">
      <c r="J200" t="str">
        <f>"("&amp;K197&amp;"^2 + 1) u12^2 = 1"</f>
        <v>(0.874246058538454^2 + 1) u12^2 = 1</v>
      </c>
    </row>
    <row r="201" spans="2:16" x14ac:dyDescent="0.25">
      <c r="J201" t="str">
        <f>"("&amp;K197^2&amp;" + 1) u12^2 = 1"</f>
        <v>(0.764306170870022 + 1) u12^2 = 1</v>
      </c>
    </row>
    <row r="202" spans="2:16" x14ac:dyDescent="0.25">
      <c r="J202" t="str">
        <f>K197^2 + 1&amp;" u12^2 = 1"</f>
        <v>1.76430617087002 u12^2 = 1</v>
      </c>
    </row>
    <row r="203" spans="2:16" x14ac:dyDescent="0.25">
      <c r="J203" t="s">
        <v>218</v>
      </c>
      <c r="K203">
        <f>1 /( K197^2 + 1)</f>
        <v>0.56679504754374677</v>
      </c>
    </row>
    <row r="204" spans="2:16" x14ac:dyDescent="0.25">
      <c r="J204" t="s">
        <v>219</v>
      </c>
      <c r="K204">
        <f>SQRT(K203)</f>
        <v>0.75285791989175932</v>
      </c>
    </row>
    <row r="205" spans="2:16" x14ac:dyDescent="0.25">
      <c r="J205" t="s">
        <v>217</v>
      </c>
      <c r="K205">
        <f>K197*K204</f>
        <v>0.65818306910482982</v>
      </c>
      <c r="M205">
        <f>K205*O190</f>
        <v>5.7268544098579621</v>
      </c>
    </row>
    <row r="206" spans="2:16" x14ac:dyDescent="0.25">
      <c r="M206">
        <f>K204*O190</f>
        <v>6.5506207936836391</v>
      </c>
    </row>
    <row r="208" spans="2:16" x14ac:dyDescent="0.25">
      <c r="B208">
        <v>1.2</v>
      </c>
      <c r="C208">
        <v>-0.8</v>
      </c>
      <c r="D208">
        <v>0.5</v>
      </c>
      <c r="E208">
        <v>600000</v>
      </c>
      <c r="G208">
        <f>E208/SUM(E208:E209)</f>
        <v>0.6</v>
      </c>
      <c r="H208">
        <v>0</v>
      </c>
      <c r="J208">
        <f>SQRT(G208)</f>
        <v>0.7745966692414834</v>
      </c>
      <c r="K208">
        <f t="shared" ref="K208:K209" si="98">SQRT(H208)</f>
        <v>0</v>
      </c>
      <c r="O208" cm="1">
        <f t="array" ref="O208:P209">MMULT(MMULT(J208:K209,B208:D209),TRANSPOSE(MMULT(J208:K209,B208:D209)))</f>
        <v>1.3980000000000001</v>
      </c>
      <c r="P208">
        <v>-0.88181630740194417</v>
      </c>
    </row>
    <row r="209" spans="2:16" x14ac:dyDescent="0.25">
      <c r="B209">
        <v>-1</v>
      </c>
      <c r="C209">
        <v>0.5</v>
      </c>
      <c r="D209">
        <v>-0.4</v>
      </c>
      <c r="E209">
        <v>400000</v>
      </c>
      <c r="G209">
        <v>0</v>
      </c>
      <c r="H209">
        <f>E209/SUM(E208:E209)</f>
        <v>0.4</v>
      </c>
      <c r="J209">
        <f t="shared" ref="J209" si="99">SQRT(G209)</f>
        <v>0</v>
      </c>
      <c r="K209">
        <f t="shared" si="98"/>
        <v>0.63245553203367588</v>
      </c>
      <c r="O209">
        <v>-0.88181630740194417</v>
      </c>
      <c r="P209">
        <v>0.56400000000000006</v>
      </c>
    </row>
    <row r="211" spans="2:16" x14ac:dyDescent="0.25">
      <c r="B211">
        <v>1.4</v>
      </c>
      <c r="C211">
        <v>-0.9</v>
      </c>
      <c r="D211">
        <v>0.6</v>
      </c>
    </row>
    <row r="212" spans="2:16" x14ac:dyDescent="0.25">
      <c r="B212">
        <v>-0.8</v>
      </c>
      <c r="C212">
        <v>0.4</v>
      </c>
      <c r="D212">
        <v>-0.3</v>
      </c>
    </row>
    <row r="214" spans="2:16" x14ac:dyDescent="0.25">
      <c r="B214" cm="1">
        <f t="array" ref="B214:C215">MMULT(MMULT(MMULT(J208:K209,B208:D209),TRANSPOSE(B208:D209)),J208:K209)</f>
        <v>1.3980000000000001</v>
      </c>
      <c r="C214">
        <v>-0.88181630740194428</v>
      </c>
      <c r="E214">
        <f>B214^2</f>
        <v>1.9544040000000005</v>
      </c>
      <c r="F214">
        <f t="shared" ref="F214:F215" si="100">C214^2</f>
        <v>0.77760000000000029</v>
      </c>
      <c r="H214">
        <f>SUMPRODUCT(E214:F215)</f>
        <v>3.8277000000000005</v>
      </c>
      <c r="J214">
        <v>3.8277000000000005</v>
      </c>
      <c r="K214">
        <v>4.2604680000000013</v>
      </c>
    </row>
    <row r="215" spans="2:16" x14ac:dyDescent="0.25">
      <c r="B215">
        <v>-0.88181630740194406</v>
      </c>
      <c r="C215">
        <v>0.56400000000000006</v>
      </c>
      <c r="E215">
        <f t="shared" ref="E215" si="101">B215^2</f>
        <v>0.77759999999999985</v>
      </c>
      <c r="F215">
        <f t="shared" si="100"/>
        <v>0.31809600000000005</v>
      </c>
      <c r="J215">
        <v>4.2604680000000013</v>
      </c>
      <c r="K215">
        <v>4.9763080000000004</v>
      </c>
    </row>
    <row r="216" spans="2:16" x14ac:dyDescent="0.25">
      <c r="K216" t="s">
        <v>214</v>
      </c>
      <c r="L216">
        <f>SUMPRODUCT(J214:K215,_xlfn.MUNIT(2))</f>
        <v>8.8040080000000014</v>
      </c>
      <c r="N216" t="s">
        <v>213</v>
      </c>
      <c r="O216">
        <f>(L216+SQRT(L216^2-4*L217))/2</f>
        <v>8.7010053565292136</v>
      </c>
    </row>
    <row r="217" spans="2:16" x14ac:dyDescent="0.25">
      <c r="B217" cm="1">
        <f t="array" ref="B217:C218">MMULT(MMULT(MMULT(J208:K209,B211:D212),TRANSPOSE(B211:D212)),J208:K209)</f>
        <v>1.8780000000000001</v>
      </c>
      <c r="C217">
        <v>-0.81323059460401514</v>
      </c>
      <c r="E217">
        <f t="shared" ref="E217:E218" si="102">B217^2</f>
        <v>3.5268840000000004</v>
      </c>
      <c r="F217">
        <f t="shared" ref="F217:F218" si="103">C217^2</f>
        <v>0.66134400000000004</v>
      </c>
      <c r="H217">
        <f>SUMPRODUCT(E217:F218)</f>
        <v>4.9763080000000004</v>
      </c>
      <c r="K217" t="s">
        <v>215</v>
      </c>
      <c r="L217">
        <f>J214*K215-J215*K214</f>
        <v>0.89622655257599249</v>
      </c>
    </row>
    <row r="218" spans="2:16" x14ac:dyDescent="0.25">
      <c r="B218">
        <v>-0.81323059460401526</v>
      </c>
      <c r="C218">
        <v>0.35600000000000009</v>
      </c>
      <c r="E218">
        <f t="shared" si="102"/>
        <v>0.66134400000000015</v>
      </c>
      <c r="F218">
        <f t="shared" si="103"/>
        <v>0.12673600000000007</v>
      </c>
    </row>
    <row r="219" spans="2:16" x14ac:dyDescent="0.25">
      <c r="J219">
        <f>J214-O216</f>
        <v>-4.8733053565292135</v>
      </c>
      <c r="K219">
        <f>K214</f>
        <v>4.2604680000000013</v>
      </c>
    </row>
    <row r="220" spans="2:16" x14ac:dyDescent="0.25">
      <c r="B220">
        <f>B214*B217</f>
        <v>2.6254440000000003</v>
      </c>
      <c r="C220">
        <f t="shared" ref="C220:C221" si="104">C214*C217</f>
        <v>0.71712000000000009</v>
      </c>
      <c r="H220">
        <f>SUMPRODUCT(B220:C221)</f>
        <v>4.2604680000000013</v>
      </c>
      <c r="J220">
        <f>J215</f>
        <v>4.2604680000000013</v>
      </c>
      <c r="K220">
        <f>K215-O216</f>
        <v>-3.7246973565292132</v>
      </c>
    </row>
    <row r="221" spans="2:16" x14ac:dyDescent="0.25">
      <c r="B221">
        <f t="shared" ref="B221" si="105">B215*B218</f>
        <v>0.71712000000000009</v>
      </c>
      <c r="C221">
        <f t="shared" si="104"/>
        <v>0.20078400000000007</v>
      </c>
    </row>
    <row r="222" spans="2:16" x14ac:dyDescent="0.25">
      <c r="J222" t="str">
        <f>J219&amp;" * u11 + "&amp;J220&amp;" * u12"</f>
        <v>-4.87330535652921 * u11 + 4.260468 * u12</v>
      </c>
    </row>
    <row r="223" spans="2:16" x14ac:dyDescent="0.25">
      <c r="J223" t="s">
        <v>217</v>
      </c>
      <c r="K223">
        <f>-(J220)/J219</f>
        <v>0.87424605853845416</v>
      </c>
      <c r="L223" t="s">
        <v>220</v>
      </c>
    </row>
    <row r="224" spans="2:16" x14ac:dyDescent="0.25">
      <c r="J224" t="s">
        <v>216</v>
      </c>
    </row>
    <row r="225" spans="10:13" x14ac:dyDescent="0.25">
      <c r="J225" t="str">
        <f>K223&amp;"^2 u12^2 + u12^2 = 1"</f>
        <v>0.874246058538454^2 u12^2 + u12^2 = 1</v>
      </c>
    </row>
    <row r="226" spans="10:13" x14ac:dyDescent="0.25">
      <c r="J226" t="str">
        <f>"("&amp;K223&amp;"^2 + 1) u12^2 = 1"</f>
        <v>(0.874246058538454^2 + 1) u12^2 = 1</v>
      </c>
    </row>
    <row r="227" spans="10:13" x14ac:dyDescent="0.25">
      <c r="J227" t="str">
        <f>"("&amp;K223^2&amp;" + 1) u12^2 = 1"</f>
        <v>(0.764306170870022 + 1) u12^2 = 1</v>
      </c>
    </row>
    <row r="228" spans="10:13" x14ac:dyDescent="0.25">
      <c r="J228" t="str">
        <f>K223^2 + 1&amp;" u12^2 = 1"</f>
        <v>1.76430617087002 u12^2 = 1</v>
      </c>
    </row>
    <row r="229" spans="10:13" x14ac:dyDescent="0.25">
      <c r="J229" t="s">
        <v>218</v>
      </c>
      <c r="K229">
        <f>1 /( K223^2 + 1)</f>
        <v>0.56679504754374677</v>
      </c>
    </row>
    <row r="230" spans="10:13" x14ac:dyDescent="0.25">
      <c r="J230" t="s">
        <v>219</v>
      </c>
      <c r="K230">
        <f>SQRT(K229)</f>
        <v>0.75285791989175932</v>
      </c>
    </row>
    <row r="231" spans="10:13" x14ac:dyDescent="0.25">
      <c r="J231" t="s">
        <v>217</v>
      </c>
      <c r="K231">
        <f>K223*K230</f>
        <v>0.65818306910482982</v>
      </c>
      <c r="M231">
        <f>K231*O216</f>
        <v>5.7268544098579621</v>
      </c>
    </row>
    <row r="232" spans="10:13" x14ac:dyDescent="0.25">
      <c r="M232">
        <f>K230*O216</f>
        <v>6.5506207936836391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3"/>
  <sheetViews>
    <sheetView workbookViewId="0">
      <selection activeCell="D3" sqref="D3"/>
    </sheetView>
  </sheetViews>
  <sheetFormatPr defaultRowHeight="15" x14ac:dyDescent="0.25"/>
  <cols>
    <col min="1" max="1" width="52.42578125" bestFit="1" customWidth="1"/>
    <col min="2" max="2" width="16.140625" bestFit="1" customWidth="1"/>
    <col min="3" max="3" width="22.85546875" bestFit="1" customWidth="1"/>
    <col min="4" max="4" width="11.5703125" bestFit="1" customWidth="1"/>
    <col min="5" max="7" width="11.5703125" customWidth="1"/>
    <col min="8" max="8" width="11.85546875" bestFit="1" customWidth="1"/>
    <col min="9" max="10" width="11.85546875" customWidth="1"/>
    <col min="11" max="11" width="12.42578125" bestFit="1" customWidth="1"/>
  </cols>
  <sheetData>
    <row r="1" spans="1:11" x14ac:dyDescent="0.25">
      <c r="A1" s="1" t="s">
        <v>70</v>
      </c>
    </row>
    <row r="2" spans="1:11" x14ac:dyDescent="0.25">
      <c r="A2" s="1" t="s">
        <v>0</v>
      </c>
    </row>
    <row r="3" spans="1:11" x14ac:dyDescent="0.25">
      <c r="A3" s="1" t="s">
        <v>15</v>
      </c>
      <c r="B3" s="1" t="s">
        <v>63</v>
      </c>
      <c r="C3" s="1" t="s">
        <v>64</v>
      </c>
      <c r="D3" s="1" t="s">
        <v>65</v>
      </c>
      <c r="E3" s="1" t="s">
        <v>67</v>
      </c>
      <c r="F3" s="1" t="s">
        <v>68</v>
      </c>
      <c r="G3" s="1" t="s">
        <v>69</v>
      </c>
      <c r="H3" s="1" t="s">
        <v>66</v>
      </c>
      <c r="I3" s="1" t="s">
        <v>71</v>
      </c>
      <c r="J3" s="1" t="s">
        <v>72</v>
      </c>
      <c r="K3" s="1" t="s">
        <v>73</v>
      </c>
    </row>
    <row r="4" spans="1:11" x14ac:dyDescent="0.25">
      <c r="A4" s="2" t="s">
        <v>3</v>
      </c>
      <c r="B4" s="2">
        <f>AVERAGE('1. Data Original'!C3:C6)</f>
        <v>7.915</v>
      </c>
      <c r="C4" s="2">
        <f>_xlfn.STDEV.P('1. Data Original'!C3:C6)</f>
        <v>3.925184709029629</v>
      </c>
      <c r="D4" s="2">
        <f>MIN('1. Data Original'!C3:C6)</f>
        <v>3.69</v>
      </c>
      <c r="E4" s="2">
        <f>_xlfn.QUARTILE.INC('1. Data Original'!C3:C6,1)</f>
        <v>4.3049999999999997</v>
      </c>
      <c r="F4" s="2">
        <f>_xlfn.QUARTILE.INC('1. Data Original'!C3:C6,2)</f>
        <v>7.5</v>
      </c>
      <c r="G4" s="2">
        <f>_xlfn.QUARTILE.INC('1. Data Original'!C3:C6,3)</f>
        <v>11.11</v>
      </c>
      <c r="H4" s="2">
        <f>MAX('1. Data Original'!C3:C6)</f>
        <v>12.97</v>
      </c>
      <c r="I4" s="2">
        <f>((1/4)*SUM('1. Data Original'!H3:H6))/(C4^3)</f>
        <v>0.12958882227107829</v>
      </c>
      <c r="J4" s="2">
        <f>((1/4)*SUM('1. Data Original'!K3:K6))/(C4^4)-3</f>
        <v>-1.7888634407518074</v>
      </c>
      <c r="K4" s="2">
        <f>C4/B4*100</f>
        <v>49.591720897405295</v>
      </c>
    </row>
    <row r="5" spans="1:11" x14ac:dyDescent="0.25">
      <c r="A5" s="2" t="s">
        <v>4</v>
      </c>
      <c r="B5" s="2">
        <f>AVERAGE('1. Data Original'!D3:D6)</f>
        <v>9.692499999999999</v>
      </c>
      <c r="C5" s="2">
        <f>_xlfn.STDEV.P('1. Data Original'!D3:D6)</f>
        <v>1.1476143733850805</v>
      </c>
      <c r="D5" s="2">
        <f>MIN('1. Data Original'!D3:D6)</f>
        <v>8.19</v>
      </c>
      <c r="E5" s="2">
        <f>_xlfn.QUARTILE.INC('1. Data Original'!D3:D6,1)</f>
        <v>9.0449999999999999</v>
      </c>
      <c r="F5" s="2">
        <f>_xlfn.QUARTILE.INC('1. Data Original'!D3:D6,2)</f>
        <v>9.6</v>
      </c>
      <c r="G5" s="2">
        <f>_xlfn.QUARTILE.INC('1. Data Original'!D3:D6,3)</f>
        <v>10.247499999999999</v>
      </c>
      <c r="H5" s="2">
        <f>MAX('1. Data Original'!D3:D6)</f>
        <v>11.38</v>
      </c>
      <c r="I5" s="2">
        <f>((1/4)*SUM('1. Data Original'!I3:I6))/(C5^3)</f>
        <v>0.22685051488378483</v>
      </c>
      <c r="J5" s="2">
        <f>((1/4)*SUM('1. Data Original'!L3:L6))/(C5^4)-3</f>
        <v>-1.0940547459344681</v>
      </c>
      <c r="K5" s="2">
        <f>C5/B5*100</f>
        <v>11.840230831932738</v>
      </c>
    </row>
    <row r="6" spans="1:11" x14ac:dyDescent="0.25">
      <c r="A6" s="2" t="s">
        <v>5</v>
      </c>
      <c r="B6" s="2">
        <f>AVERAGE('1. Data Original'!E3:E6)</f>
        <v>10.975</v>
      </c>
      <c r="C6" s="2">
        <f>_xlfn.STDEV.P('1. Data Original'!E3:E6)</f>
        <v>1.8355584981144066</v>
      </c>
      <c r="D6" s="2">
        <f>MIN('1. Data Original'!E3:E6)</f>
        <v>7.99</v>
      </c>
      <c r="E6" s="2">
        <f>_xlfn.QUARTILE.INC('1. Data Original'!E3:E6,1)</f>
        <v>10.225000000000001</v>
      </c>
      <c r="F6" s="2">
        <f>_xlfn.QUARTILE.INC('1. Data Original'!E3:E6,2)</f>
        <v>11.61</v>
      </c>
      <c r="G6" s="2">
        <f>_xlfn.QUARTILE.INC('1. Data Original'!E3:E6,3)</f>
        <v>12.36</v>
      </c>
      <c r="H6" s="2">
        <f>MAX('1. Data Original'!E3:E6)</f>
        <v>12.69</v>
      </c>
      <c r="I6" s="2">
        <f>((1/4)*SUM('1. Data Original'!J3:J6))/(C6^3)</f>
        <v>-0.78745835234104744</v>
      </c>
      <c r="J6" s="2">
        <f>((1/4)*SUM('1. Data Original'!M3:M6))/(C6^4)-3</f>
        <v>-1.0028748535767802</v>
      </c>
      <c r="K6" s="2">
        <f>C6/B6*100</f>
        <v>16.724906588741746</v>
      </c>
    </row>
    <row r="7" spans="1:11" x14ac:dyDescent="0.25">
      <c r="A7" s="1" t="s">
        <v>13</v>
      </c>
    </row>
    <row r="8" spans="1:11" x14ac:dyDescent="0.25">
      <c r="A8" s="1" t="s">
        <v>15</v>
      </c>
      <c r="B8" s="1" t="s">
        <v>63</v>
      </c>
      <c r="C8" s="1" t="s">
        <v>64</v>
      </c>
      <c r="D8" s="1" t="s">
        <v>65</v>
      </c>
      <c r="E8" s="1" t="s">
        <v>67</v>
      </c>
      <c r="F8" s="1" t="s">
        <v>68</v>
      </c>
      <c r="G8" s="1" t="s">
        <v>69</v>
      </c>
      <c r="H8" s="1" t="s">
        <v>66</v>
      </c>
      <c r="I8" s="1" t="s">
        <v>71</v>
      </c>
      <c r="J8" s="1" t="s">
        <v>72</v>
      </c>
      <c r="K8" s="1" t="s">
        <v>73</v>
      </c>
    </row>
    <row r="9" spans="1:11" x14ac:dyDescent="0.25">
      <c r="A9" s="2" t="s">
        <v>3</v>
      </c>
      <c r="B9" s="2">
        <f>AVERAGE('1. Data Original'!C9:C12)</f>
        <v>8.4025000000000016</v>
      </c>
      <c r="C9" s="2">
        <f>_xlfn.STDEV.P('1. Data Original'!C9:C12)</f>
        <v>3.8749217734039441</v>
      </c>
      <c r="D9" s="2">
        <f>MIN('1. Data Original'!C9:C12)</f>
        <v>4.24</v>
      </c>
      <c r="E9" s="2">
        <f>_xlfn.QUARTILE.INC('1. Data Original'!C9:C12,1)</f>
        <v>4.7650000000000006</v>
      </c>
      <c r="F9" s="2">
        <f>_xlfn.QUARTILE.INC('1. Data Original'!C9:C12,2)</f>
        <v>8.120000000000001</v>
      </c>
      <c r="G9" s="2">
        <f>_xlfn.QUARTILE.INC('1. Data Original'!C9:C12,3)</f>
        <v>11.7575</v>
      </c>
      <c r="H9" s="2">
        <f>MAX('1. Data Original'!C9:C12)</f>
        <v>13.13</v>
      </c>
      <c r="I9" s="2">
        <f>((1/4)*SUM('1. Data Original'!H9:H12))/(C9^3)</f>
        <v>7.0250798738267298E-2</v>
      </c>
      <c r="J9" s="2">
        <f>((1/4)*SUM('1. Data Original'!K9:K12))/(C9^4)-3</f>
        <v>-1.8756836742009684</v>
      </c>
      <c r="K9" s="2">
        <f>C9/B9*100</f>
        <v>46.116296023849365</v>
      </c>
    </row>
    <row r="10" spans="1:11" x14ac:dyDescent="0.25">
      <c r="A10" s="2" t="s">
        <v>4</v>
      </c>
      <c r="B10" s="2">
        <f>AVERAGE('1. Data Original'!D9:D12)</f>
        <v>9.7974999999999994</v>
      </c>
      <c r="C10" s="2">
        <f>_xlfn.STDEV.P('1. Data Original'!D9:D12)</f>
        <v>1.145084603861227</v>
      </c>
      <c r="D10" s="2">
        <f>MIN('1. Data Original'!D9:D12)</f>
        <v>8.1999999999999993</v>
      </c>
      <c r="E10" s="2">
        <f>_xlfn.QUARTILE.INC('1. Data Original'!D9:D12,1)</f>
        <v>9.19</v>
      </c>
      <c r="F10" s="2">
        <f>_xlfn.QUARTILE.INC('1. Data Original'!D9:D12,2)</f>
        <v>9.8000000000000007</v>
      </c>
      <c r="G10" s="2">
        <f>_xlfn.QUARTILE.INC('1. Data Original'!D9:D12,3)</f>
        <v>10.407500000000001</v>
      </c>
      <c r="H10" s="2">
        <f>MAX('1. Data Original'!D9:D12)</f>
        <v>11.39</v>
      </c>
      <c r="I10" s="2">
        <f>((1/4)*SUM('1. Data Original'!I9:I12))/(C10^3)</f>
        <v>-6.1580833995721817E-3</v>
      </c>
      <c r="J10" s="2">
        <f>((1/4)*SUM('1. Data Original'!L9:L12))/(C10^4)-3</f>
        <v>-1.1159982522379579</v>
      </c>
      <c r="K10" s="2">
        <f>C10/B10*100</f>
        <v>11.687518283860445</v>
      </c>
    </row>
    <row r="11" spans="1:11" x14ac:dyDescent="0.25">
      <c r="A11" s="2" t="s">
        <v>5</v>
      </c>
      <c r="B11" s="2">
        <f>AVERAGE('1. Data Original'!E9:E12)</f>
        <v>9.2974999999999994</v>
      </c>
      <c r="C11" s="2">
        <f>_xlfn.STDEV.P('1. Data Original'!E9:E12)</f>
        <v>1.68103204906986</v>
      </c>
      <c r="D11" s="2">
        <f>MIN('1. Data Original'!E9:E12)</f>
        <v>7.66</v>
      </c>
      <c r="E11" s="2">
        <f>_xlfn.QUARTILE.INC('1. Data Original'!E9:E12,1)</f>
        <v>7.7275</v>
      </c>
      <c r="F11" s="2">
        <f>_xlfn.QUARTILE.INC('1. Data Original'!E9:E12,2)</f>
        <v>8.9400000000000013</v>
      </c>
      <c r="G11" s="2">
        <f>_xlfn.QUARTILE.INC('1. Data Original'!E9:E12,3)</f>
        <v>10.510000000000002</v>
      </c>
      <c r="H11" s="2">
        <f>MAX('1. Data Original'!E9:E12)</f>
        <v>11.65</v>
      </c>
      <c r="I11" s="2">
        <f>((1/4)*SUM('1. Data Original'!J9:J12))/(C11^3)</f>
        <v>0.28943073137805847</v>
      </c>
      <c r="J11" s="2">
        <f>((1/4)*SUM('1. Data Original'!M9:M12))/(C11^4)-3</f>
        <v>-1.6214724299958387</v>
      </c>
      <c r="K11" s="2">
        <f>C11/B11*100</f>
        <v>18.080473773270882</v>
      </c>
    </row>
    <row r="12" spans="1:11" x14ac:dyDescent="0.25">
      <c r="A12" s="1" t="s">
        <v>14</v>
      </c>
    </row>
    <row r="13" spans="1:11" x14ac:dyDescent="0.25">
      <c r="A13" s="1" t="s">
        <v>15</v>
      </c>
      <c r="B13" s="1" t="s">
        <v>63</v>
      </c>
      <c r="C13" s="1" t="s">
        <v>64</v>
      </c>
      <c r="D13" s="1" t="s">
        <v>65</v>
      </c>
      <c r="E13" s="1" t="s">
        <v>67</v>
      </c>
      <c r="F13" s="1" t="s">
        <v>68</v>
      </c>
      <c r="G13" s="1" t="s">
        <v>69</v>
      </c>
      <c r="H13" s="1" t="s">
        <v>66</v>
      </c>
      <c r="I13" s="1" t="s">
        <v>71</v>
      </c>
      <c r="J13" s="1" t="s">
        <v>72</v>
      </c>
      <c r="K13" s="1" t="s">
        <v>73</v>
      </c>
    </row>
    <row r="14" spans="1:11" x14ac:dyDescent="0.25">
      <c r="A14" s="2" t="s">
        <v>3</v>
      </c>
      <c r="B14" s="2">
        <f>AVERAGE('1. Data Original'!C15:C18)</f>
        <v>8.02</v>
      </c>
      <c r="C14" s="2">
        <f>_xlfn.STDEV.P('1. Data Original'!C15:C18)</f>
        <v>3.8356485761863026</v>
      </c>
      <c r="D14" s="2">
        <f>MIN('1. Data Original'!C15:C18)</f>
        <v>3.64</v>
      </c>
      <c r="E14" s="2">
        <f>_xlfn.QUARTILE.INC('1. Data Original'!C15:C18,1)</f>
        <v>4.585</v>
      </c>
      <c r="F14" s="2">
        <f>_xlfn.QUARTILE.INC('1. Data Original'!C15:C18,2)</f>
        <v>7.86</v>
      </c>
      <c r="G14" s="2">
        <f>_xlfn.QUARTILE.INC('1. Data Original'!C15:C18,3)</f>
        <v>11.295</v>
      </c>
      <c r="H14" s="2">
        <f>MAX('1. Data Original'!C15:C18)</f>
        <v>12.72</v>
      </c>
      <c r="I14" s="2">
        <f>((1/4)*SUM('1. Data Original'!H15:H18))/(C14^3)</f>
        <v>5.0397983713451562E-2</v>
      </c>
      <c r="J14" s="2">
        <f>((1/4)*SUM('1. Data Original'!K15:K18))/(C14^4)-3</f>
        <v>-1.8308628739818147</v>
      </c>
      <c r="K14" s="2">
        <f>C14/B14*100</f>
        <v>47.826042097086066</v>
      </c>
    </row>
    <row r="15" spans="1:11" x14ac:dyDescent="0.25">
      <c r="A15" s="2" t="s">
        <v>4</v>
      </c>
      <c r="B15" s="2">
        <f>AVERAGE('1. Data Original'!D15:D18)</f>
        <v>9.9050000000000011</v>
      </c>
      <c r="C15" s="2">
        <f>_xlfn.STDEV.P('1. Data Original'!D15:D18)</f>
        <v>1.2051659636747034</v>
      </c>
      <c r="D15" s="2">
        <f>MIN('1. Data Original'!D15:D18)</f>
        <v>8.2200000000000006</v>
      </c>
      <c r="E15" s="2">
        <f>_xlfn.QUARTILE.INC('1. Data Original'!D15:D18,1)</f>
        <v>9.2025000000000006</v>
      </c>
      <c r="F15" s="2">
        <f>_xlfn.QUARTILE.INC('1. Data Original'!D15:D18,2)</f>
        <v>9.9349999999999987</v>
      </c>
      <c r="G15" s="2">
        <f>_xlfn.QUARTILE.INC('1. Data Original'!D15:D18,3)</f>
        <v>10.637499999999999</v>
      </c>
      <c r="H15" s="2">
        <f>MAX('1. Data Original'!D15:D18)</f>
        <v>11.53</v>
      </c>
      <c r="I15" s="2">
        <f>((1/4)*SUM('1. Data Original'!I15:I18))/(C15^3)</f>
        <v>-6.6198656219491364E-2</v>
      </c>
      <c r="J15" s="2">
        <f>((1/4)*SUM('1. Data Original'!L15:L18))/(C15^4)-3</f>
        <v>-1.2117319337382952</v>
      </c>
      <c r="K15" s="2">
        <f>C15/B15*100</f>
        <v>12.167248497473027</v>
      </c>
    </row>
    <row r="16" spans="1:11" x14ac:dyDescent="0.25">
      <c r="A16" s="2" t="s">
        <v>5</v>
      </c>
      <c r="B16" s="2">
        <f>AVERAGE('1. Data Original'!E15:E18)</f>
        <v>7.557500000000001</v>
      </c>
      <c r="C16" s="2">
        <f>_xlfn.STDEV.P('1. Data Original'!E15:E18)</f>
        <v>1.4389644714168544</v>
      </c>
      <c r="D16" s="2">
        <f>MIN('1. Data Original'!E15:E18)</f>
        <v>5.88</v>
      </c>
      <c r="E16" s="2">
        <f>_xlfn.QUARTILE.INC('1. Data Original'!E15:E18,1)</f>
        <v>6.4350000000000005</v>
      </c>
      <c r="F16" s="2">
        <f>_xlfn.QUARTILE.INC('1. Data Original'!E15:E18,2)</f>
        <v>7.3599999999999994</v>
      </c>
      <c r="G16" s="2">
        <f>_xlfn.QUARTILE.INC('1. Data Original'!E15:E18,3)</f>
        <v>8.4824999999999999</v>
      </c>
      <c r="H16" s="2">
        <f>MAX('1. Data Original'!E15:E18)</f>
        <v>9.6300000000000008</v>
      </c>
      <c r="I16" s="2">
        <f>((1/4)*SUM('1. Data Original'!J15:J18))/(C16^3)</f>
        <v>0.29510441044055769</v>
      </c>
      <c r="J16" s="2">
        <f>((1/4)*SUM('1. Data Original'!M15:M18))/(C16^4)-3</f>
        <v>-1.4124086847054669</v>
      </c>
      <c r="K16" s="2">
        <f>C16/B16*100</f>
        <v>19.040217947957053</v>
      </c>
    </row>
    <row r="18" spans="1:11" x14ac:dyDescent="0.25">
      <c r="A18" s="1" t="s">
        <v>74</v>
      </c>
    </row>
    <row r="19" spans="1:11" x14ac:dyDescent="0.25">
      <c r="A19" s="1" t="s">
        <v>0</v>
      </c>
    </row>
    <row r="20" spans="1:11" x14ac:dyDescent="0.25">
      <c r="A20" s="1" t="s">
        <v>15</v>
      </c>
      <c r="B20" s="1" t="s">
        <v>63</v>
      </c>
      <c r="C20" s="1" t="s">
        <v>64</v>
      </c>
      <c r="D20" s="1" t="s">
        <v>65</v>
      </c>
      <c r="E20" s="1" t="s">
        <v>67</v>
      </c>
      <c r="F20" s="1" t="s">
        <v>68</v>
      </c>
      <c r="G20" s="1" t="s">
        <v>69</v>
      </c>
      <c r="H20" s="1" t="s">
        <v>66</v>
      </c>
      <c r="I20" s="1" t="s">
        <v>71</v>
      </c>
      <c r="J20" s="1" t="s">
        <v>72</v>
      </c>
      <c r="K20" s="1" t="s">
        <v>73</v>
      </c>
    </row>
    <row r="21" spans="1:11" x14ac:dyDescent="0.25">
      <c r="A21" s="2" t="s">
        <v>3</v>
      </c>
      <c r="B21" s="2">
        <f>SUM('1. Data Original'!C29:C32)</f>
        <v>9.2289567332688769</v>
      </c>
      <c r="C21" s="2">
        <f>SQRT(SUM('1. Data Original'!H29:H32))</f>
        <v>3.1906127054315507</v>
      </c>
      <c r="D21" s="2">
        <f>D4</f>
        <v>3.69</v>
      </c>
      <c r="E21" s="2">
        <f t="shared" ref="E21:H21" si="0">E4</f>
        <v>4.3049999999999997</v>
      </c>
      <c r="F21" s="2">
        <f t="shared" si="0"/>
        <v>7.5</v>
      </c>
      <c r="G21" s="2">
        <f t="shared" si="0"/>
        <v>11.11</v>
      </c>
      <c r="H21" s="2">
        <f t="shared" si="0"/>
        <v>12.97</v>
      </c>
      <c r="I21" s="2">
        <f>(SUM('1. Data Original'!K29:K32))/(C21^3)</f>
        <v>-0.59686044653529424</v>
      </c>
      <c r="J21" s="2">
        <f>(SUM('1. Data Original'!N29:N32))/(C21^4)-3</f>
        <v>-1.1973216560923112</v>
      </c>
      <c r="K21" s="2">
        <f>C21/B21*100</f>
        <v>34.571759275129274</v>
      </c>
    </row>
    <row r="22" spans="1:11" x14ac:dyDescent="0.25">
      <c r="A22" s="2" t="s">
        <v>4</v>
      </c>
      <c r="B22" s="2">
        <f>SUM('1. Data Original'!D29:D32)</f>
        <v>9.3588455990988528</v>
      </c>
      <c r="C22" s="2">
        <f>SQRT(SUM('1. Data Original'!I29:I32))</f>
        <v>1.3751736079340964</v>
      </c>
      <c r="D22" s="2">
        <f t="shared" ref="D22:H22" si="1">D5</f>
        <v>8.19</v>
      </c>
      <c r="E22" s="2">
        <f t="shared" si="1"/>
        <v>9.0449999999999999</v>
      </c>
      <c r="F22" s="2">
        <f t="shared" si="1"/>
        <v>9.6</v>
      </c>
      <c r="G22" s="2">
        <f t="shared" si="1"/>
        <v>10.247499999999999</v>
      </c>
      <c r="H22" s="2">
        <f t="shared" si="1"/>
        <v>11.38</v>
      </c>
      <c r="I22" s="2">
        <f>(SUM('1. Data Original'!L29:L32))/(C22^3)</f>
        <v>0.6249459661916813</v>
      </c>
      <c r="J22" s="2">
        <f>(SUM('1. Data Original'!O29:O32))/(C22^4)-3</f>
        <v>-1.3635739661742687</v>
      </c>
      <c r="K22" s="2">
        <f>C22/B22*100</f>
        <v>14.693837967222256</v>
      </c>
    </row>
    <row r="23" spans="1:11" x14ac:dyDescent="0.25">
      <c r="A23" s="2" t="s">
        <v>5</v>
      </c>
      <c r="B23" s="2">
        <f>SUM('1. Data Original'!E29:E32)</f>
        <v>11.014753918920391</v>
      </c>
      <c r="C23" s="2">
        <f>SQRT(SUM('1. Data Original'!J29:J32))</f>
        <v>1.6167601828224403</v>
      </c>
      <c r="D23" s="2">
        <f t="shared" ref="D23:H23" si="2">D6</f>
        <v>7.99</v>
      </c>
      <c r="E23" s="2">
        <f t="shared" si="2"/>
        <v>10.225000000000001</v>
      </c>
      <c r="F23" s="2">
        <f t="shared" si="2"/>
        <v>11.61</v>
      </c>
      <c r="G23" s="2">
        <f t="shared" si="2"/>
        <v>12.36</v>
      </c>
      <c r="H23" s="2">
        <f t="shared" si="2"/>
        <v>12.69</v>
      </c>
      <c r="I23" s="2">
        <f>(SUM('1. Data Original'!M29:M32))/(C23^3)</f>
        <v>-1.0948587599659791</v>
      </c>
      <c r="J23" s="2">
        <f>(SUM('1. Data Original'!P29:P32))/(C23^4)-3</f>
        <v>-0.35898757658715086</v>
      </c>
      <c r="K23" s="2">
        <f>C23/B23*100</f>
        <v>14.678132573123401</v>
      </c>
    </row>
    <row r="24" spans="1:11" x14ac:dyDescent="0.25">
      <c r="A24" s="1" t="s">
        <v>13</v>
      </c>
    </row>
    <row r="25" spans="1:11" x14ac:dyDescent="0.25">
      <c r="A25" s="1" t="s">
        <v>15</v>
      </c>
      <c r="B25" s="1" t="s">
        <v>63</v>
      </c>
      <c r="C25" s="1" t="s">
        <v>64</v>
      </c>
      <c r="D25" s="1" t="s">
        <v>65</v>
      </c>
      <c r="E25" s="1" t="s">
        <v>67</v>
      </c>
      <c r="F25" s="1" t="s">
        <v>68</v>
      </c>
      <c r="G25" s="1" t="s">
        <v>69</v>
      </c>
      <c r="H25" s="1" t="s">
        <v>66</v>
      </c>
      <c r="I25" s="1" t="s">
        <v>71</v>
      </c>
      <c r="J25" s="1" t="s">
        <v>72</v>
      </c>
      <c r="K25" s="1" t="s">
        <v>73</v>
      </c>
    </row>
    <row r="26" spans="1:11" x14ac:dyDescent="0.25">
      <c r="A26" s="2" t="s">
        <v>3</v>
      </c>
      <c r="B26" s="2">
        <f>SUM('1. Data Original'!C35:C38)</f>
        <v>9.7960807169855819</v>
      </c>
      <c r="C26" s="2">
        <f>SQRT(SUM('1. Data Original'!H35:H38))</f>
        <v>3.2131625659959258</v>
      </c>
      <c r="D26" s="2">
        <f>D9</f>
        <v>4.24</v>
      </c>
      <c r="E26" s="2">
        <f t="shared" ref="E26:H26" si="3">E9</f>
        <v>4.7650000000000006</v>
      </c>
      <c r="F26" s="2">
        <f t="shared" si="3"/>
        <v>8.120000000000001</v>
      </c>
      <c r="G26" s="2">
        <f t="shared" si="3"/>
        <v>11.7575</v>
      </c>
      <c r="H26" s="2">
        <f t="shared" si="3"/>
        <v>13.13</v>
      </c>
      <c r="I26" s="2">
        <f>(SUM('1. Data Original'!K35:K38))/(C26^3)</f>
        <v>-0.73979110925758917</v>
      </c>
      <c r="J26" s="2">
        <f>(SUM('1. Data Original'!N35:N38))/(C26^4)-3</f>
        <v>-1.2056852450954711</v>
      </c>
      <c r="K26" s="2">
        <f>C26/B26*100</f>
        <v>32.800490919032256</v>
      </c>
    </row>
    <row r="27" spans="1:11" x14ac:dyDescent="0.25">
      <c r="A27" s="2" t="s">
        <v>4</v>
      </c>
      <c r="B27" s="2">
        <f>SUM('1. Data Original'!D35:D38)</f>
        <v>9.4051477023490104</v>
      </c>
      <c r="C27" s="2">
        <f>SQRT(SUM('1. Data Original'!I35:I38))</f>
        <v>1.3763181398051145</v>
      </c>
      <c r="D27" s="2">
        <f t="shared" ref="D27:H27" si="4">D10</f>
        <v>8.1999999999999993</v>
      </c>
      <c r="E27" s="2">
        <f t="shared" si="4"/>
        <v>9.19</v>
      </c>
      <c r="F27" s="2">
        <f t="shared" si="4"/>
        <v>9.8000000000000007</v>
      </c>
      <c r="G27" s="2">
        <f t="shared" si="4"/>
        <v>10.407500000000001</v>
      </c>
      <c r="H27" s="2">
        <f t="shared" si="4"/>
        <v>11.39</v>
      </c>
      <c r="I27" s="2">
        <f>(SUM('1. Data Original'!L35:L38))/(C27^3)</f>
        <v>0.5445205379398339</v>
      </c>
      <c r="J27" s="2">
        <f>(SUM('1. Data Original'!O35:O38))/(C27^4)-3</f>
        <v>-1.4305991853999025</v>
      </c>
      <c r="K27" s="2">
        <f>C27/B27*100</f>
        <v>14.633668533045666</v>
      </c>
    </row>
    <row r="28" spans="1:11" x14ac:dyDescent="0.25">
      <c r="A28" s="2" t="s">
        <v>5</v>
      </c>
      <c r="B28" s="2">
        <f>SUM('1. Data Original'!E35:E38)</f>
        <v>9.6978111650147945</v>
      </c>
      <c r="C28" s="2">
        <f>SQRT(SUM('1. Data Original'!J35:J38))</f>
        <v>1.968356153108638</v>
      </c>
      <c r="D28" s="2">
        <f t="shared" ref="D28:H28" si="5">D11</f>
        <v>7.66</v>
      </c>
      <c r="E28" s="2">
        <f t="shared" si="5"/>
        <v>7.7275</v>
      </c>
      <c r="F28" s="2">
        <f t="shared" si="5"/>
        <v>8.9400000000000013</v>
      </c>
      <c r="G28" s="2">
        <f t="shared" si="5"/>
        <v>10.510000000000002</v>
      </c>
      <c r="H28" s="2">
        <f t="shared" si="5"/>
        <v>11.65</v>
      </c>
      <c r="I28" s="2">
        <f>(SUM('1. Data Original'!M35:M38))/(C28^3)</f>
        <v>-1.7140105285742942E-2</v>
      </c>
      <c r="J28" s="2">
        <f>(SUM('1. Data Original'!P35:P38))/(C28^4)-3</f>
        <v>-1.998587743684701</v>
      </c>
      <c r="K28" s="2">
        <f>C28/B28*100</f>
        <v>20.29691153617792</v>
      </c>
    </row>
    <row r="29" spans="1:11" x14ac:dyDescent="0.25">
      <c r="A29" s="1" t="s">
        <v>14</v>
      </c>
    </row>
    <row r="30" spans="1:11" x14ac:dyDescent="0.25">
      <c r="A30" s="1" t="s">
        <v>15</v>
      </c>
      <c r="B30" s="1" t="s">
        <v>63</v>
      </c>
      <c r="C30" s="1" t="s">
        <v>64</v>
      </c>
      <c r="D30" s="1" t="s">
        <v>65</v>
      </c>
      <c r="E30" s="1" t="s">
        <v>67</v>
      </c>
      <c r="F30" s="1" t="s">
        <v>68</v>
      </c>
      <c r="G30" s="1" t="s">
        <v>69</v>
      </c>
      <c r="H30" s="1" t="s">
        <v>66</v>
      </c>
      <c r="I30" s="1" t="s">
        <v>71</v>
      </c>
      <c r="J30" s="1" t="s">
        <v>72</v>
      </c>
      <c r="K30" s="1" t="s">
        <v>73</v>
      </c>
    </row>
    <row r="31" spans="1:11" x14ac:dyDescent="0.25">
      <c r="A31" s="2" t="s">
        <v>3</v>
      </c>
      <c r="B31" s="2">
        <f>SUM('1. Data Original'!C41:C44)</f>
        <v>9.4596748950756151</v>
      </c>
      <c r="C31" s="2">
        <f>SQRT(SUM('1. Data Original'!H41:H44))</f>
        <v>3.0328638621926665</v>
      </c>
      <c r="D31" s="2">
        <f>D14</f>
        <v>3.64</v>
      </c>
      <c r="E31" s="2">
        <f t="shared" ref="E31:H31" si="6">E14</f>
        <v>4.585</v>
      </c>
      <c r="F31" s="2">
        <f t="shared" si="6"/>
        <v>7.86</v>
      </c>
      <c r="G31" s="2">
        <f t="shared" si="6"/>
        <v>11.295</v>
      </c>
      <c r="H31" s="2">
        <f t="shared" si="6"/>
        <v>12.72</v>
      </c>
      <c r="I31" s="2">
        <f>(SUM('1. Data Original'!K41:K44))/(C31^3)</f>
        <v>-0.7051568785876513</v>
      </c>
      <c r="J31" s="2">
        <f>(SUM('1. Data Original'!N41:N44))/(C31^4)-3</f>
        <v>-1.2051479247370764</v>
      </c>
      <c r="K31" s="2">
        <f>C31/B31*100</f>
        <v>32.060973509475176</v>
      </c>
    </row>
    <row r="32" spans="1:11" x14ac:dyDescent="0.25">
      <c r="A32" s="2" t="s">
        <v>4</v>
      </c>
      <c r="B32" s="2">
        <f>SUM('1. Data Original'!D41:D44)</f>
        <v>9.4584801074002609</v>
      </c>
      <c r="C32" s="2">
        <f>SQRT(SUM('1. Data Original'!I41:I44))</f>
        <v>1.4273004096492865</v>
      </c>
      <c r="D32" s="2">
        <f t="shared" ref="D32:H32" si="7">D15</f>
        <v>8.2200000000000006</v>
      </c>
      <c r="E32" s="2">
        <f t="shared" si="7"/>
        <v>9.2025000000000006</v>
      </c>
      <c r="F32" s="2">
        <f t="shared" si="7"/>
        <v>9.9349999999999987</v>
      </c>
      <c r="G32" s="2">
        <f t="shared" si="7"/>
        <v>10.637499999999999</v>
      </c>
      <c r="H32" s="2">
        <f t="shared" si="7"/>
        <v>11.53</v>
      </c>
      <c r="I32" s="2">
        <f>(SUM('1. Data Original'!L41:L44))/(C32^3)</f>
        <v>0.57056527576500127</v>
      </c>
      <c r="J32" s="2">
        <f>(SUM('1. Data Original'!O41:O44))/(C32^4)-3</f>
        <v>-1.4083472340636569</v>
      </c>
      <c r="K32" s="2">
        <f>C32/B32*100</f>
        <v>15.090166638216798</v>
      </c>
    </row>
    <row r="33" spans="1:11" x14ac:dyDescent="0.25">
      <c r="A33" s="2" t="s">
        <v>5</v>
      </c>
      <c r="B33" s="2">
        <f>SUM('1. Data Original'!E41:E44)</f>
        <v>7.9194693958320936</v>
      </c>
      <c r="C33" s="2">
        <f>SQRT(SUM('1. Data Original'!J41:J44))</f>
        <v>1.7433426413984199</v>
      </c>
      <c r="D33" s="2">
        <f t="shared" ref="D33:H33" si="8">D16</f>
        <v>5.88</v>
      </c>
      <c r="E33" s="2">
        <f t="shared" si="8"/>
        <v>6.4350000000000005</v>
      </c>
      <c r="F33" s="2">
        <f t="shared" si="8"/>
        <v>7.3599999999999994</v>
      </c>
      <c r="G33" s="2">
        <f t="shared" si="8"/>
        <v>8.4824999999999999</v>
      </c>
      <c r="H33" s="2">
        <f t="shared" si="8"/>
        <v>9.6300000000000008</v>
      </c>
      <c r="I33" s="2">
        <f>(SUM('1. Data Original'!M41:M44))/(C33^3)</f>
        <v>-7.859830013266382E-2</v>
      </c>
      <c r="J33" s="2">
        <f>(SUM('1. Data Original'!P41:P44))/(C33^4)-3</f>
        <v>-1.9193946101383521</v>
      </c>
      <c r="K33" s="2">
        <f>C33/B33*100</f>
        <v>22.013376834512634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73"/>
  <sheetViews>
    <sheetView topLeftCell="A8" zoomScale="117" zoomScaleNormal="117" workbookViewId="0">
      <selection activeCell="B11" sqref="B11"/>
    </sheetView>
  </sheetViews>
  <sheetFormatPr defaultRowHeight="15" x14ac:dyDescent="0.25"/>
  <cols>
    <col min="1" max="1" width="27.42578125" bestFit="1" customWidth="1"/>
    <col min="2" max="2" width="17" bestFit="1" customWidth="1"/>
    <col min="3" max="3" width="13.85546875" bestFit="1" customWidth="1"/>
    <col min="4" max="4" width="16.28515625" bestFit="1" customWidth="1"/>
    <col min="5" max="5" width="12.7109375" bestFit="1" customWidth="1"/>
  </cols>
  <sheetData>
    <row r="1" spans="1:4" x14ac:dyDescent="0.25">
      <c r="A1" s="1" t="s">
        <v>16</v>
      </c>
    </row>
    <row r="2" spans="1:4" x14ac:dyDescent="0.25">
      <c r="A2" s="1" t="s">
        <v>0</v>
      </c>
    </row>
    <row r="3" spans="1:4" x14ac:dyDescent="0.25">
      <c r="A3" s="1" t="s">
        <v>2</v>
      </c>
      <c r="B3" s="1" t="s">
        <v>3</v>
      </c>
      <c r="C3" s="1" t="s">
        <v>4</v>
      </c>
      <c r="D3" s="1" t="s">
        <v>5</v>
      </c>
    </row>
    <row r="4" spans="1:4" x14ac:dyDescent="0.25">
      <c r="A4" s="2" t="str">
        <f>'1. Data Original'!B3</f>
        <v>Kota Jakarta Pusat</v>
      </c>
      <c r="B4" s="2">
        <f>('1. Data Original'!C3 - '2. Statistika Deskriptif'!B4) / '2. Statistika Deskriptif'!C4</f>
        <v>-0.86747510051361965</v>
      </c>
      <c r="C4" s="2">
        <f>('1. Data Original'!D3 - '2. Statistika Deskriptif'!B5) / '2. Statistika Deskriptif'!C5</f>
        <v>1.470441673732648</v>
      </c>
      <c r="D4" s="2">
        <f>('1. Data Original'!E3 - '2. Statistika Deskriptif'!B6) / '2. Statistika Deskriptif'!C6</f>
        <v>-2.7239665775486309E-3</v>
      </c>
    </row>
    <row r="5" spans="1:4" x14ac:dyDescent="0.25">
      <c r="A5" s="2" t="str">
        <f>'1. Data Original'!B4</f>
        <v>Bandung Barat</v>
      </c>
      <c r="B5" s="2">
        <f>('1. Data Original'!C4 - '2. Statistika Deskriptif'!B4) / '2. Statistika Deskriptif'!C4</f>
        <v>0.65602008335464623</v>
      </c>
      <c r="C5" s="2">
        <f>('1. Data Original'!D4 - '2. Statistika Deskriptif'!B5) / '2. Statistika Deskriptif'!C5</f>
        <v>-1.3092376976493632</v>
      </c>
      <c r="D5" s="2">
        <f>('1. Data Original'!E4 - '2. Statistika Deskriptif'!B6) / '2. Statistika Deskriptif'!C6</f>
        <v>0.69461147727503925</v>
      </c>
    </row>
    <row r="6" spans="1:4" x14ac:dyDescent="0.25">
      <c r="A6" s="2" t="str">
        <f>'1. Data Original'!B5</f>
        <v>Kota Tasikmalaya</v>
      </c>
      <c r="B6" s="2">
        <f>('1. Data Original'!C5 - '2. Statistika Deskriptif'!B4) / '2. Statistika Deskriptif'!C4</f>
        <v>1.2878374840224223</v>
      </c>
      <c r="C6" s="2">
        <f>('1. Data Original'!D5 - '2. Statistika Deskriptif'!B5) / '2. Statistika Deskriptif'!C5</f>
        <v>-0.31587265583886387</v>
      </c>
      <c r="D6" s="2">
        <f>('1. Data Original'!E5 - '2. Statistika Deskriptif'!B6) / '2. Statistika Deskriptif'!C6</f>
        <v>-1.6262080467968558</v>
      </c>
    </row>
    <row r="7" spans="1:4" x14ac:dyDescent="0.25">
      <c r="A7" s="2" t="str">
        <f>'1. Data Original'!B6</f>
        <v>Kota Cilegon</v>
      </c>
      <c r="B7" s="2">
        <f>('1. Data Original'!C6 - '2. Statistika Deskriptif'!B4) / '2. Statistika Deskriptif'!C4</f>
        <v>-1.0763824668634485</v>
      </c>
      <c r="C7" s="2">
        <f>('1. Data Original'!D6 - '2. Statistika Deskriptif'!B5) / '2. Statistika Deskriptif'!C5</f>
        <v>0.15466867975558224</v>
      </c>
      <c r="D7" s="2">
        <f>('1. Data Original'!E6 - '2. Statistika Deskriptif'!B6) / '2. Statistika Deskriptif'!C6</f>
        <v>0.93432053609936616</v>
      </c>
    </row>
    <row r="8" spans="1:4" x14ac:dyDescent="0.25">
      <c r="A8" s="1" t="s">
        <v>13</v>
      </c>
    </row>
    <row r="9" spans="1:4" x14ac:dyDescent="0.25">
      <c r="A9" s="1" t="s">
        <v>2</v>
      </c>
      <c r="B9" s="1" t="s">
        <v>3</v>
      </c>
      <c r="C9" s="1" t="s">
        <v>4</v>
      </c>
      <c r="D9" s="1" t="s">
        <v>5</v>
      </c>
    </row>
    <row r="10" spans="1:4" x14ac:dyDescent="0.25">
      <c r="A10" s="2" t="str">
        <f>'1. Data Original'!B9</f>
        <v>Kota Jakarta Pusat</v>
      </c>
      <c r="B10" s="2">
        <f>('1. Data Original'!C9 - '2. Statistika Deskriptif'!B9) / '2. Statistika Deskriptif'!C9</f>
        <v>-0.89356642597673686</v>
      </c>
      <c r="C10" s="2">
        <f>('1. Data Original'!D9 - '2. Statistika Deskriptif'!B10) / '2. Statistika Deskriptif'!C10</f>
        <v>1.3907269337392965</v>
      </c>
      <c r="D10" s="2">
        <f>('1. Data Original'!E9 - '2. Statistika Deskriptif'!B11) / '2. Statistika Deskriptif'!C11</f>
        <v>-0.92056543529687862</v>
      </c>
    </row>
    <row r="11" spans="1:4" x14ac:dyDescent="0.25">
      <c r="A11" s="2" t="str">
        <f>'1. Data Original'!B10</f>
        <v>Bandung Barat</v>
      </c>
      <c r="B11" s="2">
        <f>('1. Data Original'!C10 - '2. Statistika Deskriptif'!B9) / '2. Statistika Deskriptif'!C9</f>
        <v>0.74775703083540601</v>
      </c>
      <c r="C11" s="2">
        <f>('1. Data Original'!D10 - '2. Statistika Deskriptif'!B10) / '2. Statistika Deskriptif'!C10</f>
        <v>-1.3950934233271741</v>
      </c>
      <c r="D11" s="2">
        <f>('1. Data Original'!E10 - '2. Statistika Deskriptif'!B11) / '2. Statistika Deskriptif'!C11</f>
        <v>1.3994379234480829</v>
      </c>
    </row>
    <row r="12" spans="1:4" x14ac:dyDescent="0.25">
      <c r="A12" s="2" t="str">
        <f>'1. Data Original'!B11</f>
        <v>Kota Tasikmalaya</v>
      </c>
      <c r="B12" s="2">
        <f>('1. Data Original'!C11 - '2. Statistika Deskriptif'!B9) / '2. Statistika Deskriptif'!C9</f>
        <v>1.2200246292577679</v>
      </c>
      <c r="C12" s="2">
        <f>('1. Data Original'!D11 - '2. Statistika Deskriptif'!B10) / '2. Statistika Deskriptif'!C10</f>
        <v>-0.24234017212725545</v>
      </c>
      <c r="D12" s="2">
        <f>('1. Data Original'!E11 - '2. Statistika Deskriptif'!B11) / '2. Statistika Deskriptif'!C11</f>
        <v>-0.97410397434483909</v>
      </c>
    </row>
    <row r="13" spans="1:4" x14ac:dyDescent="0.25">
      <c r="A13" s="2" t="str">
        <f>'1. Data Original'!B12</f>
        <v>Kota Cilegon</v>
      </c>
      <c r="B13" s="2">
        <f>('1. Data Original'!C12 - '2. Statistika Deskriptif'!B9) / '2. Statistika Deskriptif'!C9</f>
        <v>-1.0742152341164382</v>
      </c>
      <c r="C13" s="2">
        <f>('1. Data Original'!D12 - '2. Statistika Deskriptif'!B10) / '2. Statistika Deskriptif'!C10</f>
        <v>0.24670666171513458</v>
      </c>
      <c r="D13" s="2">
        <f>('1. Data Original'!E12 - '2. Statistika Deskriptif'!B11) / '2. Statistika Deskriptif'!C11</f>
        <v>0.49523148619363677</v>
      </c>
    </row>
    <row r="14" spans="1:4" x14ac:dyDescent="0.25">
      <c r="A14" s="1" t="s">
        <v>14</v>
      </c>
    </row>
    <row r="15" spans="1:4" x14ac:dyDescent="0.25">
      <c r="A15" s="1" t="s">
        <v>2</v>
      </c>
      <c r="B15" s="1" t="s">
        <v>3</v>
      </c>
      <c r="C15" s="1" t="s">
        <v>4</v>
      </c>
      <c r="D15" s="1" t="s">
        <v>5</v>
      </c>
    </row>
    <row r="16" spans="1:4" x14ac:dyDescent="0.25">
      <c r="A16" s="2" t="str">
        <f>'1. Data Original'!B15</f>
        <v>Kota Jakarta Pusat</v>
      </c>
      <c r="B16" s="2">
        <f>('1. Data Original'!C15 - '2. Statistika Deskriptif'!B14) / '2. Statistika Deskriptif'!C14</f>
        <v>-0.81342175593733446</v>
      </c>
      <c r="C16" s="2">
        <f>('1. Data Original'!D15 - '2. Statistika Deskriptif'!B15) / '2. Statistika Deskriptif'!C15</f>
        <v>1.3483620090341482</v>
      </c>
      <c r="D16" s="2">
        <f>('1. Data Original'!E15 - '2. Statistika Deskriptif'!B16) / '2. Statistika Deskriptif'!C16</f>
        <v>-1.1657688798586363</v>
      </c>
    </row>
    <row r="17" spans="1:5" x14ac:dyDescent="0.25">
      <c r="A17" s="2" t="str">
        <f>'1. Data Original'!B16</f>
        <v>Bandung Barat</v>
      </c>
      <c r="B17" s="2">
        <f>('1. Data Original'!C16 - '2. Statistika Deskriptif'!B14) / '2. Statistika Deskriptif'!C14</f>
        <v>0.72999388353350569</v>
      </c>
      <c r="C17" s="2">
        <f>('1. Data Original'!D16 - '2. Statistika Deskriptif'!B15) / '2. Statistika Deskriptif'!C15</f>
        <v>-1.3981476832138724</v>
      </c>
      <c r="D17" s="2">
        <f>('1. Data Original'!E16 - '2. Statistika Deskriptif'!B16) / '2. Statistika Deskriptif'!C16</f>
        <v>1.4402718351755721</v>
      </c>
    </row>
    <row r="18" spans="1:5" x14ac:dyDescent="0.25">
      <c r="A18" s="2" t="str">
        <f>'1. Data Original'!B17</f>
        <v>Kota Tasikmalaya</v>
      </c>
      <c r="B18" s="2">
        <f>('1. Data Original'!C17 - '2. Statistika Deskriptif'!B14) / '2. Statistika Deskriptif'!C14</f>
        <v>1.2253468759312416</v>
      </c>
      <c r="C18" s="2">
        <f>('1. Data Original'!D17 - '2. Statistika Deskriptif'!B15) / '2. Statistika Deskriptif'!C15</f>
        <v>-0.31116046362326677</v>
      </c>
      <c r="D18" s="2">
        <f>('1. Data Original'!E17 - '2. Statistika Deskriptif'!B16) / '2. Statistika Deskriptif'!C16</f>
        <v>-0.65151017875855255</v>
      </c>
    </row>
    <row r="19" spans="1:5" x14ac:dyDescent="0.25">
      <c r="A19" s="2" t="str">
        <f>'1. Data Original'!B18</f>
        <v>Kota Cilegon</v>
      </c>
      <c r="B19" s="2">
        <f>('1. Data Original'!C18 - '2. Statistika Deskriptif'!B14) / '2. Statistika Deskriptif'!C14</f>
        <v>-1.1419190035274118</v>
      </c>
      <c r="C19" s="2">
        <f>('1. Data Original'!D18 - '2. Statistika Deskriptif'!B15) / '2. Statistika Deskriptif'!C15</f>
        <v>0.36094613780298668</v>
      </c>
      <c r="D19" s="2">
        <f>('1. Data Original'!E18 - '2. Statistika Deskriptif'!B16) / '2. Statistika Deskriptif'!C16</f>
        <v>0.37700722344161447</v>
      </c>
    </row>
    <row r="20" spans="1:5" x14ac:dyDescent="0.25">
      <c r="A20" s="1" t="s">
        <v>25</v>
      </c>
    </row>
    <row r="21" spans="1:5" x14ac:dyDescent="0.25">
      <c r="A21" s="1" t="s">
        <v>0</v>
      </c>
    </row>
    <row r="22" spans="1:5" x14ac:dyDescent="0.25">
      <c r="A22" s="1" t="s">
        <v>24</v>
      </c>
      <c r="B22" s="1" t="s">
        <v>7</v>
      </c>
      <c r="C22" s="1" t="s">
        <v>9</v>
      </c>
      <c r="D22" s="1" t="s">
        <v>10</v>
      </c>
      <c r="E22" s="1" t="s">
        <v>12</v>
      </c>
    </row>
    <row r="23" spans="1:5" x14ac:dyDescent="0.25">
      <c r="A23" s="2" t="s">
        <v>3</v>
      </c>
      <c r="B23" s="2">
        <v>-0.86747510051361965</v>
      </c>
      <c r="C23" s="2">
        <v>0.65602008335464623</v>
      </c>
      <c r="D23" s="2">
        <v>1.2878374840224223</v>
      </c>
      <c r="E23" s="2">
        <v>-1.0763824668634485</v>
      </c>
    </row>
    <row r="24" spans="1:5" x14ac:dyDescent="0.25">
      <c r="A24" s="2" t="s">
        <v>4</v>
      </c>
      <c r="B24" s="2">
        <v>1.470441673732648</v>
      </c>
      <c r="C24" s="2">
        <v>-1.3092376976493632</v>
      </c>
      <c r="D24" s="2">
        <v>-0.31587265583886387</v>
      </c>
      <c r="E24" s="2">
        <v>0.15466867975558224</v>
      </c>
    </row>
    <row r="25" spans="1:5" x14ac:dyDescent="0.25">
      <c r="A25" s="2" t="s">
        <v>5</v>
      </c>
      <c r="B25" s="2">
        <v>-2.7239665775486309E-3</v>
      </c>
      <c r="C25" s="2">
        <v>0.69461147727503925</v>
      </c>
      <c r="D25" s="2">
        <v>-1.6262080467968558</v>
      </c>
      <c r="E25" s="2">
        <v>0.93432053609936616</v>
      </c>
    </row>
    <row r="26" spans="1:5" x14ac:dyDescent="0.25">
      <c r="A26" s="1" t="s">
        <v>13</v>
      </c>
    </row>
    <row r="27" spans="1:5" x14ac:dyDescent="0.25">
      <c r="A27" s="1" t="s">
        <v>2</v>
      </c>
      <c r="B27" s="1" t="s">
        <v>7</v>
      </c>
      <c r="C27" s="1" t="s">
        <v>9</v>
      </c>
      <c r="D27" s="1" t="s">
        <v>10</v>
      </c>
      <c r="E27" s="1" t="s">
        <v>12</v>
      </c>
    </row>
    <row r="28" spans="1:5" x14ac:dyDescent="0.25">
      <c r="A28" s="2" t="s">
        <v>3</v>
      </c>
      <c r="B28" s="2">
        <v>-0.89356642597673686</v>
      </c>
      <c r="C28" s="2">
        <v>0.74775703083540601</v>
      </c>
      <c r="D28" s="2">
        <v>1.2200246292577679</v>
      </c>
      <c r="E28" s="2">
        <v>-1.0742152341164382</v>
      </c>
    </row>
    <row r="29" spans="1:5" x14ac:dyDescent="0.25">
      <c r="A29" s="2" t="s">
        <v>4</v>
      </c>
      <c r="B29" s="2">
        <v>1.3907269337392965</v>
      </c>
      <c r="C29" s="2">
        <v>-1.3950934233271741</v>
      </c>
      <c r="D29" s="2">
        <v>-0.24234017212725545</v>
      </c>
      <c r="E29" s="2">
        <v>0.24670666171513458</v>
      </c>
    </row>
    <row r="30" spans="1:5" x14ac:dyDescent="0.25">
      <c r="A30" s="2" t="s">
        <v>5</v>
      </c>
      <c r="B30" s="2">
        <v>-0.92056543529687862</v>
      </c>
      <c r="C30" s="2">
        <v>1.3994379234480829</v>
      </c>
      <c r="D30" s="2">
        <v>-0.97410397434483909</v>
      </c>
      <c r="E30" s="2">
        <v>0.49523148619363677</v>
      </c>
    </row>
    <row r="31" spans="1:5" x14ac:dyDescent="0.25">
      <c r="A31" s="1" t="s">
        <v>14</v>
      </c>
    </row>
    <row r="32" spans="1:5" x14ac:dyDescent="0.25">
      <c r="A32" s="1" t="s">
        <v>2</v>
      </c>
      <c r="B32" s="1" t="s">
        <v>7</v>
      </c>
      <c r="C32" s="1" t="s">
        <v>9</v>
      </c>
      <c r="D32" s="1" t="s">
        <v>10</v>
      </c>
      <c r="E32" s="1" t="s">
        <v>12</v>
      </c>
    </row>
    <row r="33" spans="1:14" x14ac:dyDescent="0.25">
      <c r="A33" s="2" t="s">
        <v>3</v>
      </c>
      <c r="B33" s="2">
        <v>-0.81342175593733446</v>
      </c>
      <c r="C33" s="2">
        <v>0.72999388353350569</v>
      </c>
      <c r="D33" s="2">
        <v>1.2253468759312416</v>
      </c>
      <c r="E33" s="2">
        <v>-1.1419190035274118</v>
      </c>
    </row>
    <row r="34" spans="1:14" x14ac:dyDescent="0.25">
      <c r="A34" s="2" t="s">
        <v>4</v>
      </c>
      <c r="B34" s="2">
        <v>1.3483620090341482</v>
      </c>
      <c r="C34" s="2">
        <v>-1.3981476832138724</v>
      </c>
      <c r="D34" s="2">
        <v>-0.31116046362326677</v>
      </c>
      <c r="E34" s="2">
        <v>0.36094613780298668</v>
      </c>
    </row>
    <row r="35" spans="1:14" x14ac:dyDescent="0.25">
      <c r="A35" s="2" t="s">
        <v>5</v>
      </c>
      <c r="B35" s="2">
        <v>-1.1657688798586363</v>
      </c>
      <c r="C35" s="2">
        <v>1.4402718351755721</v>
      </c>
      <c r="D35" s="2">
        <v>-0.65151017875855255</v>
      </c>
      <c r="E35" s="2">
        <v>0.37700722344161447</v>
      </c>
    </row>
    <row r="38" spans="1:14" x14ac:dyDescent="0.25">
      <c r="A38" s="1" t="s">
        <v>16</v>
      </c>
      <c r="B38" t="s">
        <v>78</v>
      </c>
    </row>
    <row r="39" spans="1:14" x14ac:dyDescent="0.25">
      <c r="A39" s="1" t="str">
        <f>A2</f>
        <v>Data Tahun 2020</v>
      </c>
    </row>
    <row r="40" spans="1:14" x14ac:dyDescent="0.25">
      <c r="A40" s="1" t="str">
        <f t="shared" ref="A40:A72" si="0">A3</f>
        <v>Kabupaten/Kota</v>
      </c>
      <c r="B40" s="1" t="s">
        <v>3</v>
      </c>
      <c r="C40" s="1" t="s">
        <v>4</v>
      </c>
      <c r="D40" s="1" t="s">
        <v>5</v>
      </c>
    </row>
    <row r="41" spans="1:14" x14ac:dyDescent="0.25">
      <c r="A41" s="2" t="str">
        <f t="shared" si="0"/>
        <v>Kota Jakarta Pusat</v>
      </c>
      <c r="B41" s="2">
        <f>('1. Data Original'!C3 - '2. Statistika Deskriptif'!B21) / '2. Statistika Deskriptif'!C21</f>
        <v>-1.4790127066301544</v>
      </c>
      <c r="C41" s="2">
        <f>('1. Data Original'!D3 - '2. Statistika Deskriptif'!B22) / '2. Statistika Deskriptif'!C22</f>
        <v>1.4697449029272016</v>
      </c>
      <c r="D41" s="2">
        <f>('1. Data Original'!E3 - '2. Statistika Deskriptif'!B23) / '2. Statistika Deskriptif'!C23</f>
        <v>-2.7681235223310521E-2</v>
      </c>
      <c r="G41" cm="1">
        <f t="array" ref="G41:J43">TRANSPOSE(B41:D44)</f>
        <v>-1.4790127066301544</v>
      </c>
      <c r="H41">
        <v>0.39523545574314989</v>
      </c>
      <c r="I41">
        <v>1.172515630105323</v>
      </c>
      <c r="J41">
        <v>-1.7360166352499051</v>
      </c>
      <c r="L41">
        <f>B41*'1. Data Original'!$D21</f>
        <v>-0.43530341520590421</v>
      </c>
      <c r="M41">
        <f>C41*'1. Data Original'!$D21</f>
        <v>0.43257571274245127</v>
      </c>
      <c r="N41">
        <f>D41*'1. Data Original'!$D21</f>
        <v>-8.1471485510626034E-3</v>
      </c>
    </row>
    <row r="42" spans="1:14" x14ac:dyDescent="0.25">
      <c r="A42" s="2" t="str">
        <f t="shared" si="0"/>
        <v>Bandung Barat</v>
      </c>
      <c r="B42" s="2">
        <f>('1. Data Original'!C4 - '2. Statistika Deskriptif'!B21) / '2. Statistika Deskriptif'!C21</f>
        <v>0.39523545574314989</v>
      </c>
      <c r="C42" s="2">
        <f>('1. Data Original'!D4 - '2. Statistika Deskriptif'!B22) / '2. Statistika Deskriptif'!C22</f>
        <v>-0.84996221012035955</v>
      </c>
      <c r="D42" s="2">
        <f>('1. Data Original'!E4 - '2. Statistika Deskriptif'!B23) / '2. Statistika Deskriptif'!C23</f>
        <v>0.76402554578205428</v>
      </c>
      <c r="G42">
        <v>1.4697449029272016</v>
      </c>
      <c r="H42">
        <v>-0.84996221012035955</v>
      </c>
      <c r="I42">
        <v>-2.0975969093958317E-2</v>
      </c>
      <c r="J42">
        <v>0.37170172402380985</v>
      </c>
      <c r="L42">
        <f>B42*'1. Data Original'!$D22</f>
        <v>0.19920459440853797</v>
      </c>
      <c r="M42">
        <f>C42*'1. Data Original'!$D22</f>
        <v>-0.42839369512345499</v>
      </c>
      <c r="N42">
        <f>D42*'1. Data Original'!$D22</f>
        <v>0.38508032807710424</v>
      </c>
    </row>
    <row r="43" spans="1:14" x14ac:dyDescent="0.25">
      <c r="A43" s="2" t="str">
        <f t="shared" si="0"/>
        <v>Kota Tasikmalaya</v>
      </c>
      <c r="B43" s="2">
        <f>('1. Data Original'!C5 - '2. Statistika Deskriptif'!B21) / '2. Statistika Deskriptif'!C21</f>
        <v>1.172515630105323</v>
      </c>
      <c r="C43" s="2">
        <f>('1. Data Original'!D5 - '2. Statistika Deskriptif'!B22) / '2. Statistika Deskriptif'!C22</f>
        <v>-2.0975969093958317E-2</v>
      </c>
      <c r="D43" s="2">
        <f>('1. Data Original'!E5 - '2. Statistika Deskriptif'!B23) / '2. Statistika Deskriptif'!C23</f>
        <v>-1.8708735847514268</v>
      </c>
      <c r="G43">
        <v>-2.7681235223310521E-2</v>
      </c>
      <c r="H43">
        <v>0.76402554578205428</v>
      </c>
      <c r="I43">
        <v>-1.8708735847514268</v>
      </c>
      <c r="J43">
        <v>1.0361747517526483</v>
      </c>
      <c r="L43">
        <f>B43*'1. Data Original'!$D23</f>
        <v>0.23631145085369992</v>
      </c>
      <c r="M43">
        <f>C43*'1. Data Original'!$D23</f>
        <v>-4.2275442325748801E-3</v>
      </c>
      <c r="N43">
        <f>D43*'1. Data Original'!$D23</f>
        <v>-0.37706009184436978</v>
      </c>
    </row>
    <row r="44" spans="1:14" x14ac:dyDescent="0.25">
      <c r="A44" s="2" t="str">
        <f t="shared" si="0"/>
        <v>Kota Cilegon</v>
      </c>
      <c r="B44" s="2">
        <f>('1. Data Original'!C6 - '2. Statistika Deskriptif'!B21) / '2. Statistika Deskriptif'!C21</f>
        <v>-1.7360166352499051</v>
      </c>
      <c r="C44" s="2">
        <f>('1. Data Original'!D6 - '2. Statistika Deskriptif'!B22) / '2. Statistika Deskriptif'!C22</f>
        <v>0.37170172402380985</v>
      </c>
      <c r="D44" s="2">
        <f>('1. Data Original'!E6 - '2. Statistika Deskriptif'!B23) / '2. Statistika Deskriptif'!C23</f>
        <v>1.0361747517526483</v>
      </c>
      <c r="L44">
        <f>B44*'1. Data Original'!$D24</f>
        <v>-2.12630056333438E-4</v>
      </c>
      <c r="M44">
        <f>C44*'1. Data Original'!$D24</f>
        <v>4.5526613578239924E-5</v>
      </c>
      <c r="N44">
        <f>D44*'1. Data Original'!$D24</f>
        <v>1.2691231832852553E-4</v>
      </c>
    </row>
    <row r="45" spans="1:14" x14ac:dyDescent="0.25">
      <c r="A45" s="1" t="str">
        <f t="shared" si="0"/>
        <v>Data Tahun 2021</v>
      </c>
    </row>
    <row r="46" spans="1:14" x14ac:dyDescent="0.25">
      <c r="A46" s="1" t="str">
        <f t="shared" si="0"/>
        <v>Kabupaten/Kota</v>
      </c>
      <c r="B46" s="1" t="s">
        <v>3</v>
      </c>
      <c r="C46" s="1" t="s">
        <v>4</v>
      </c>
      <c r="D46" s="1" t="s">
        <v>5</v>
      </c>
    </row>
    <row r="47" spans="1:14" x14ac:dyDescent="0.25">
      <c r="A47" s="2" t="str">
        <f t="shared" si="0"/>
        <v>Kota Jakarta Pusat</v>
      </c>
      <c r="B47" s="2">
        <f>('1. Data Original'!C9 - '2. Statistika Deskriptif'!B26) / '2. Statistika Deskriptif'!C26</f>
        <v>-1.5113087549245832</v>
      </c>
      <c r="C47" s="2">
        <f>('1. Data Original'!D9 - '2. Statistika Deskriptif'!B27) / '2. Statistika Deskriptif'!C27</f>
        <v>1.4421464342045536</v>
      </c>
      <c r="D47" s="2">
        <f>('1. Data Original'!E9 - '2. Statistika Deskriptif'!B28) / '2. Statistika Deskriptif'!C28</f>
        <v>-0.98956236245082141</v>
      </c>
      <c r="G47" cm="1">
        <f t="array" ref="G47:J49">TRANSPOSE(B47:D50)</f>
        <v>-1.5113087549245832</v>
      </c>
      <c r="H47">
        <v>0.46804954686389366</v>
      </c>
      <c r="I47">
        <v>1.0375818884162384</v>
      </c>
      <c r="J47">
        <v>-1.7291626560648243</v>
      </c>
      <c r="L47">
        <f>B47*'1. Data Original'!$D21</f>
        <v>-0.44480879677375518</v>
      </c>
      <c r="M47">
        <f>C47*'1. Data Original'!$D21</f>
        <v>0.42445292404998997</v>
      </c>
      <c r="N47">
        <f>D47*'1. Data Original'!$D21</f>
        <v>-0.29124825906028018</v>
      </c>
    </row>
    <row r="48" spans="1:14" x14ac:dyDescent="0.25">
      <c r="A48" s="2" t="str">
        <f t="shared" si="0"/>
        <v>Bandung Barat</v>
      </c>
      <c r="B48" s="2">
        <f>('1. Data Original'!C10 - '2. Statistika Deskriptif'!B26) / '2. Statistika Deskriptif'!C26</f>
        <v>0.46804954686389366</v>
      </c>
      <c r="C48" s="2">
        <f>('1. Data Original'!D10 - '2. Statistika Deskriptif'!B27) / '2. Statistika Deskriptif'!C27</f>
        <v>-0.87563163449960701</v>
      </c>
      <c r="D48" s="2">
        <f>('1. Data Original'!E10 - '2. Statistika Deskriptif'!B28) / '2. Statistika Deskriptif'!C28</f>
        <v>0.99178638576260758</v>
      </c>
      <c r="G48">
        <v>1.4421464342045536</v>
      </c>
      <c r="H48">
        <v>-0.87563163449960701</v>
      </c>
      <c r="I48">
        <v>8.3448945653838535E-2</v>
      </c>
      <c r="J48">
        <v>0.49033161602196723</v>
      </c>
      <c r="L48">
        <f>B48*'1. Data Original'!$D22</f>
        <v>0.23590398784139924</v>
      </c>
      <c r="M48">
        <f>C48*'1. Data Original'!$D22</f>
        <v>-0.44133146980400312</v>
      </c>
      <c r="N48">
        <f>D48*'1. Data Original'!$D22</f>
        <v>0.49987520563980731</v>
      </c>
    </row>
    <row r="49" spans="1:14" x14ac:dyDescent="0.25">
      <c r="A49" s="2" t="str">
        <f t="shared" si="0"/>
        <v>Kota Tasikmalaya</v>
      </c>
      <c r="B49" s="2">
        <f>('1. Data Original'!C11 - '2. Statistika Deskriptif'!B26) / '2. Statistika Deskriptif'!C26</f>
        <v>1.0375818884162384</v>
      </c>
      <c r="C49" s="2">
        <f>('1. Data Original'!D11 - '2. Statistika Deskriptif'!B27) / '2. Statistika Deskriptif'!C27</f>
        <v>8.3448945653838535E-2</v>
      </c>
      <c r="D49" s="2">
        <f>('1. Data Original'!E11 - '2. Statistika Deskriptif'!B28) / '2. Statistika Deskriptif'!C28</f>
        <v>-1.0352857951019003</v>
      </c>
      <c r="G49">
        <v>-0.98956236245082141</v>
      </c>
      <c r="H49">
        <v>0.99178638576260758</v>
      </c>
      <c r="I49">
        <v>-1.0352857951019003</v>
      </c>
      <c r="J49">
        <v>0.21956841209993813</v>
      </c>
      <c r="L49">
        <f>B49*'1. Data Original'!$D23</f>
        <v>0.20911659950250583</v>
      </c>
      <c r="M49">
        <f>C49*'1. Data Original'!$D23</f>
        <v>1.6818489164105017E-2</v>
      </c>
      <c r="N49">
        <f>D49*'1. Data Original'!$D23</f>
        <v>-0.20865383966504594</v>
      </c>
    </row>
    <row r="50" spans="1:14" x14ac:dyDescent="0.25">
      <c r="A50" s="2" t="str">
        <f t="shared" si="0"/>
        <v>Kota Cilegon</v>
      </c>
      <c r="B50" s="2">
        <f>('1. Data Original'!C12 - '2. Statistika Deskriptif'!B26) / '2. Statistika Deskriptif'!C26</f>
        <v>-1.7291626560648243</v>
      </c>
      <c r="C50" s="2">
        <f>('1. Data Original'!D12 - '2. Statistika Deskriptif'!B27) / '2. Statistika Deskriptif'!C27</f>
        <v>0.49033161602196723</v>
      </c>
      <c r="D50" s="2">
        <f>('1. Data Original'!E12 - '2. Statistika Deskriptif'!B28) / '2. Statistika Deskriptif'!C28</f>
        <v>0.21956841209993813</v>
      </c>
      <c r="L50">
        <f>B50*'1. Data Original'!$D24</f>
        <v>-2.1179057014958461E-4</v>
      </c>
      <c r="M50">
        <f>C50*'1. Data Original'!$D24</f>
        <v>6.005658990808469E-5</v>
      </c>
      <c r="N50">
        <f>D50*'1. Data Original'!$D24</f>
        <v>2.6893085518810513E-5</v>
      </c>
    </row>
    <row r="51" spans="1:14" x14ac:dyDescent="0.25">
      <c r="A51" s="1" t="str">
        <f t="shared" si="0"/>
        <v>Data Tahun 2022</v>
      </c>
    </row>
    <row r="52" spans="1:14" x14ac:dyDescent="0.25">
      <c r="A52" s="1" t="str">
        <f t="shared" si="0"/>
        <v>Kabupaten/Kota</v>
      </c>
      <c r="B52" s="1" t="s">
        <v>3</v>
      </c>
      <c r="C52" s="1" t="s">
        <v>4</v>
      </c>
      <c r="D52" s="1" t="s">
        <v>5</v>
      </c>
    </row>
    <row r="53" spans="1:14" x14ac:dyDescent="0.25">
      <c r="A53" s="2" t="str">
        <f t="shared" si="0"/>
        <v>Kota Jakarta Pusat</v>
      </c>
      <c r="B53" s="2">
        <f>('1. Data Original'!C15 - '2. Statistika Deskriptif'!B31) / '2. Statistika Deskriptif'!C31</f>
        <v>-1.5034222115657745</v>
      </c>
      <c r="C53" s="2">
        <f>('1. Data Original'!D15 - '2. Statistika Deskriptif'!B32) / '2. Statistika Deskriptif'!C32</f>
        <v>1.45135521477833</v>
      </c>
      <c r="D53" s="2">
        <f>('1. Data Original'!E15 - '2. Statistika Deskriptif'!B33) / '2. Statistika Deskriptif'!C33</f>
        <v>-1.1698614761101329</v>
      </c>
      <c r="G53" cm="1">
        <f t="array" ref="G53:J55">TRANSPOSE(B53:D56)</f>
        <v>-1.5034222115657745</v>
      </c>
      <c r="H53">
        <v>0.44852824483223336</v>
      </c>
      <c r="I53">
        <v>1.0749988305005129</v>
      </c>
      <c r="J53">
        <v>-1.9188711262721072</v>
      </c>
      <c r="L53">
        <f>B53*'1. Data Original'!$D21</f>
        <v>-0.44248762722404872</v>
      </c>
      <c r="M53">
        <f>C53*'1. Data Original'!$D21</f>
        <v>0.42716325481028483</v>
      </c>
      <c r="N53">
        <f>D53*'1. Data Original'!$D21</f>
        <v>-0.34431394239258839</v>
      </c>
    </row>
    <row r="54" spans="1:14" x14ac:dyDescent="0.25">
      <c r="A54" s="2" t="str">
        <f t="shared" si="0"/>
        <v>Bandung Barat</v>
      </c>
      <c r="B54" s="2">
        <f>('1. Data Original'!C16 - '2. Statistika Deskriptif'!B31) / '2. Statistika Deskriptif'!C31</f>
        <v>0.44852824483223336</v>
      </c>
      <c r="C54" s="2">
        <f>('1. Data Original'!D16 - '2. Statistika Deskriptif'!B32) / '2. Statistika Deskriptif'!C32</f>
        <v>-0.86770808655801979</v>
      </c>
      <c r="D54" s="2">
        <f>('1. Data Original'!E16 - '2. Statistika Deskriptif'!B33) / '2. Statistika Deskriptif'!C33</f>
        <v>0.98117866422162847</v>
      </c>
      <c r="G54">
        <v>1.45135521477833</v>
      </c>
      <c r="H54">
        <v>-0.86770808655801979</v>
      </c>
      <c r="I54">
        <v>5.0108507022226793E-2</v>
      </c>
      <c r="J54">
        <v>0.61761342366344885</v>
      </c>
      <c r="L54">
        <f>B54*'1. Data Original'!$D22</f>
        <v>0.22606495898648138</v>
      </c>
      <c r="M54">
        <f>C54*'1. Data Original'!$D22</f>
        <v>-0.43733788286476294</v>
      </c>
      <c r="N54">
        <f>D54*'1. Data Original'!$D22</f>
        <v>0.49452875496979787</v>
      </c>
    </row>
    <row r="55" spans="1:14" x14ac:dyDescent="0.25">
      <c r="A55" s="2" t="str">
        <f t="shared" si="0"/>
        <v>Kota Tasikmalaya</v>
      </c>
      <c r="B55" s="2">
        <f>('1. Data Original'!C17 - '2. Statistika Deskriptif'!B31) / '2. Statistika Deskriptif'!C31</f>
        <v>1.0749988305005129</v>
      </c>
      <c r="C55" s="2">
        <f>('1. Data Original'!D17 - '2. Statistika Deskriptif'!B32) / '2. Statistika Deskriptif'!C32</f>
        <v>5.0108507022226793E-2</v>
      </c>
      <c r="D55" s="2">
        <f>('1. Data Original'!E17 - '2. Statistika Deskriptif'!B33) / '2. Statistika Deskriptif'!C33</f>
        <v>-0.74538955508466542</v>
      </c>
      <c r="G55">
        <v>-1.1698614761101329</v>
      </c>
      <c r="H55">
        <v>0.98117866422162847</v>
      </c>
      <c r="I55">
        <v>-0.74538955508466542</v>
      </c>
      <c r="J55">
        <v>0.10355428696626937</v>
      </c>
      <c r="L55">
        <f>B55*'1. Data Original'!$D23</f>
        <v>0.21665769460044454</v>
      </c>
      <c r="M55">
        <f>C55*'1. Data Original'!$D23</f>
        <v>1.0098981787962664E-2</v>
      </c>
      <c r="N55">
        <f>D55*'1. Data Original'!$D23</f>
        <v>-0.1502274960696505</v>
      </c>
    </row>
    <row r="56" spans="1:14" x14ac:dyDescent="0.25">
      <c r="A56" s="2" t="str">
        <f t="shared" si="0"/>
        <v>Kota Cilegon</v>
      </c>
      <c r="B56" s="2">
        <f>('1. Data Original'!C18 - '2. Statistika Deskriptif'!B31) / '2. Statistika Deskriptif'!C31</f>
        <v>-1.9188711262721072</v>
      </c>
      <c r="C56" s="2">
        <f>('1. Data Original'!D18 - '2. Statistika Deskriptif'!B32) / '2. Statistika Deskriptif'!C32</f>
        <v>0.61761342366344885</v>
      </c>
      <c r="D56" s="2">
        <f>('1. Data Original'!E18 - '2. Statistika Deskriptif'!B33) / '2. Statistika Deskriptif'!C33</f>
        <v>0.10355428696626937</v>
      </c>
      <c r="L56">
        <f>B56*'1. Data Original'!$D24</f>
        <v>-2.3502636287647756E-4</v>
      </c>
      <c r="M56">
        <f>C56*'1. Data Original'!$D24</f>
        <v>7.5646266515725098E-5</v>
      </c>
      <c r="N56">
        <f>D56*'1. Data Original'!$D24</f>
        <v>1.2683492441325133E-5</v>
      </c>
    </row>
    <row r="57" spans="1:14" x14ac:dyDescent="0.25">
      <c r="A57" s="1" t="str">
        <f t="shared" si="0"/>
        <v>Z-Score transpose</v>
      </c>
    </row>
    <row r="58" spans="1:14" x14ac:dyDescent="0.25">
      <c r="A58" s="1" t="str">
        <f t="shared" si="0"/>
        <v>Data Tahun 2020</v>
      </c>
    </row>
    <row r="59" spans="1:14" x14ac:dyDescent="0.25">
      <c r="A59" s="1" t="str">
        <f t="shared" si="0"/>
        <v>Variabel</v>
      </c>
      <c r="B59" s="1" t="s">
        <v>7</v>
      </c>
      <c r="C59" s="1" t="s">
        <v>9</v>
      </c>
      <c r="D59" s="1" t="s">
        <v>10</v>
      </c>
      <c r="E59" s="1" t="s">
        <v>12</v>
      </c>
    </row>
    <row r="60" spans="1:14" x14ac:dyDescent="0.25">
      <c r="A60" s="2" t="str">
        <f t="shared" si="0"/>
        <v>PPM</v>
      </c>
      <c r="B60" s="2">
        <v>-1.4790127066301544</v>
      </c>
      <c r="C60" s="2">
        <v>0.39523545574314989</v>
      </c>
      <c r="D60" s="2">
        <v>1.172515630105323</v>
      </c>
      <c r="E60" s="2">
        <v>-1.7360166352499051</v>
      </c>
      <c r="G60" cm="1">
        <f t="array" ref="G60:J62">TRANSPOSE(L41:N44)</f>
        <v>-0.43530341520590421</v>
      </c>
      <c r="H60">
        <v>0.19920459440853797</v>
      </c>
      <c r="I60">
        <v>0.23631145085369992</v>
      </c>
      <c r="J60">
        <v>-2.12630056333438E-4</v>
      </c>
      <c r="L60" cm="1">
        <f t="array" ref="L60:N63">TRANSPOSE(B60:E62)</f>
        <v>-1.4790127066301544</v>
      </c>
      <c r="M60">
        <v>1.4697449029272016</v>
      </c>
      <c r="N60">
        <v>-2.7681235223310521E-2</v>
      </c>
    </row>
    <row r="61" spans="1:14" x14ac:dyDescent="0.25">
      <c r="A61" s="2" t="str">
        <f t="shared" si="0"/>
        <v>RLS</v>
      </c>
      <c r="B61" s="2">
        <v>1.4697449029272016</v>
      </c>
      <c r="C61" s="2">
        <v>-0.84996221012035955</v>
      </c>
      <c r="D61" s="2">
        <v>-2.0975969093958317E-2</v>
      </c>
      <c r="E61" s="2">
        <v>0.37170172402380985</v>
      </c>
      <c r="G61">
        <v>0.43257571274245127</v>
      </c>
      <c r="H61">
        <v>-0.42839369512345499</v>
      </c>
      <c r="I61">
        <v>-4.2275442325748801E-3</v>
      </c>
      <c r="J61">
        <v>4.5526613578239924E-5</v>
      </c>
      <c r="L61">
        <v>0.39523545574314989</v>
      </c>
      <c r="M61">
        <v>-0.84996221012035955</v>
      </c>
      <c r="N61">
        <v>0.76402554578205428</v>
      </c>
    </row>
    <row r="62" spans="1:14" x14ac:dyDescent="0.25">
      <c r="A62" s="2" t="str">
        <f t="shared" si="0"/>
        <v>TPT</v>
      </c>
      <c r="B62" s="2">
        <v>-2.7681235223310521E-2</v>
      </c>
      <c r="C62" s="2">
        <v>0.76402554578205428</v>
      </c>
      <c r="D62" s="2">
        <v>-1.8708735847514268</v>
      </c>
      <c r="E62" s="2">
        <v>1.0361747517526483</v>
      </c>
      <c r="G62">
        <v>-8.1471485510626034E-3</v>
      </c>
      <c r="H62">
        <v>0.38508032807710424</v>
      </c>
      <c r="I62">
        <v>-0.37706009184436978</v>
      </c>
      <c r="J62">
        <v>1.2691231832852553E-4</v>
      </c>
      <c r="L62">
        <v>1.172515630105323</v>
      </c>
      <c r="M62">
        <v>-2.0975969093958317E-2</v>
      </c>
      <c r="N62">
        <v>-1.8708735847514268</v>
      </c>
    </row>
    <row r="63" spans="1:14" x14ac:dyDescent="0.25">
      <c r="A63" s="1" t="str">
        <f t="shared" si="0"/>
        <v>Data Tahun 2021</v>
      </c>
      <c r="L63">
        <v>-1.7360166352499051</v>
      </c>
      <c r="M63">
        <v>0.37170172402380985</v>
      </c>
      <c r="N63">
        <v>1.0361747517526483</v>
      </c>
    </row>
    <row r="64" spans="1:14" x14ac:dyDescent="0.25">
      <c r="A64" s="1" t="str">
        <f t="shared" si="0"/>
        <v>Kabupaten/Kota</v>
      </c>
      <c r="B64" s="1" t="s">
        <v>7</v>
      </c>
      <c r="C64" s="1" t="s">
        <v>9</v>
      </c>
      <c r="D64" s="1" t="s">
        <v>10</v>
      </c>
      <c r="E64" s="1" t="s">
        <v>12</v>
      </c>
    </row>
    <row r="65" spans="1:14" x14ac:dyDescent="0.25">
      <c r="A65" s="2" t="str">
        <f t="shared" si="0"/>
        <v>PPM</v>
      </c>
      <c r="B65" s="2">
        <v>-1.5113087549245832</v>
      </c>
      <c r="C65" s="2">
        <v>0.46804954686389366</v>
      </c>
      <c r="D65" s="2">
        <v>1.0375818884162384</v>
      </c>
      <c r="E65" s="2">
        <v>-1.7291626560648243</v>
      </c>
      <c r="G65" cm="1">
        <f t="array" ref="G65:J67">TRANSPOSE(L47:N50)</f>
        <v>-0.44480879677375518</v>
      </c>
      <c r="H65">
        <v>0.23590398784139924</v>
      </c>
      <c r="I65">
        <v>0.20911659950250583</v>
      </c>
      <c r="J65">
        <v>-2.1179057014958461E-4</v>
      </c>
      <c r="L65" cm="1">
        <f t="array" ref="L65:N68">TRANSPOSE(B65:E67)</f>
        <v>-1.5113087549245832</v>
      </c>
      <c r="M65">
        <v>1.4421464342045536</v>
      </c>
      <c r="N65">
        <v>-0.98956236245082141</v>
      </c>
    </row>
    <row r="66" spans="1:14" x14ac:dyDescent="0.25">
      <c r="A66" s="2" t="str">
        <f t="shared" si="0"/>
        <v>RLS</v>
      </c>
      <c r="B66" s="2">
        <v>1.4421464342045536</v>
      </c>
      <c r="C66" s="2">
        <v>-0.87563163449960701</v>
      </c>
      <c r="D66" s="2">
        <v>8.3448945653838535E-2</v>
      </c>
      <c r="E66" s="2">
        <v>0.49033161602196723</v>
      </c>
      <c r="G66">
        <v>0.42445292404998997</v>
      </c>
      <c r="H66">
        <v>-0.44133146980400312</v>
      </c>
      <c r="I66">
        <v>1.6818489164105017E-2</v>
      </c>
      <c r="J66">
        <v>6.005658990808469E-5</v>
      </c>
      <c r="L66">
        <v>0.46804954686389366</v>
      </c>
      <c r="M66">
        <v>-0.87563163449960701</v>
      </c>
      <c r="N66">
        <v>0.99178638576260758</v>
      </c>
    </row>
    <row r="67" spans="1:14" x14ac:dyDescent="0.25">
      <c r="A67" s="2" t="str">
        <f t="shared" si="0"/>
        <v>TPT</v>
      </c>
      <c r="B67" s="2">
        <v>-0.98956236245082141</v>
      </c>
      <c r="C67" s="2">
        <v>0.99178638576260758</v>
      </c>
      <c r="D67" s="2">
        <v>-1.0352857951019003</v>
      </c>
      <c r="E67" s="2">
        <v>0.21956841209993813</v>
      </c>
      <c r="G67">
        <v>-0.29124825906028018</v>
      </c>
      <c r="H67">
        <v>0.49987520563980731</v>
      </c>
      <c r="I67">
        <v>-0.20865383966504594</v>
      </c>
      <c r="J67">
        <v>2.6893085518810513E-5</v>
      </c>
      <c r="L67">
        <v>1.0375818884162384</v>
      </c>
      <c r="M67">
        <v>8.3448945653838535E-2</v>
      </c>
      <c r="N67">
        <v>-1.0352857951019003</v>
      </c>
    </row>
    <row r="68" spans="1:14" x14ac:dyDescent="0.25">
      <c r="A68" s="1" t="str">
        <f t="shared" si="0"/>
        <v>Data Tahun 2022</v>
      </c>
      <c r="L68">
        <v>-1.7291626560648243</v>
      </c>
      <c r="M68">
        <v>0.49033161602196723</v>
      </c>
      <c r="N68">
        <v>0.21956841209993813</v>
      </c>
    </row>
    <row r="69" spans="1:14" x14ac:dyDescent="0.25">
      <c r="A69" s="1" t="str">
        <f t="shared" si="0"/>
        <v>Kabupaten/Kota</v>
      </c>
      <c r="B69" s="1" t="s">
        <v>7</v>
      </c>
      <c r="C69" s="1" t="s">
        <v>9</v>
      </c>
      <c r="D69" s="1" t="s">
        <v>10</v>
      </c>
      <c r="E69" s="1" t="s">
        <v>12</v>
      </c>
    </row>
    <row r="70" spans="1:14" x14ac:dyDescent="0.25">
      <c r="A70" s="2" t="str">
        <f t="shared" si="0"/>
        <v>PPM</v>
      </c>
      <c r="B70" s="2">
        <v>-1.5034222115657745</v>
      </c>
      <c r="C70" s="2">
        <v>0.44852824483223336</v>
      </c>
      <c r="D70" s="2">
        <v>1.0749988305005129</v>
      </c>
      <c r="E70" s="2">
        <v>-1.9188711262721072</v>
      </c>
      <c r="G70" cm="1">
        <f t="array" ref="G70:J72">TRANSPOSE(L53:N56)</f>
        <v>-0.44248762722404872</v>
      </c>
      <c r="H70">
        <v>0.22606495898648138</v>
      </c>
      <c r="I70">
        <v>0.21665769460044454</v>
      </c>
      <c r="J70">
        <v>-2.3502636287647756E-4</v>
      </c>
      <c r="L70" cm="1">
        <f t="array" ref="L70:N73">TRANSPOSE(B70:E72)</f>
        <v>-1.5034222115657745</v>
      </c>
      <c r="M70">
        <v>1.45135521477833</v>
      </c>
      <c r="N70">
        <v>-1.1698614761101329</v>
      </c>
    </row>
    <row r="71" spans="1:14" x14ac:dyDescent="0.25">
      <c r="A71" s="2" t="str">
        <f t="shared" si="0"/>
        <v>RLS</v>
      </c>
      <c r="B71" s="2">
        <v>1.45135521477833</v>
      </c>
      <c r="C71" s="2">
        <v>-0.86770808655801979</v>
      </c>
      <c r="D71" s="2">
        <v>5.0108507022226793E-2</v>
      </c>
      <c r="E71" s="2">
        <v>0.61761342366344885</v>
      </c>
      <c r="G71">
        <v>0.42716325481028483</v>
      </c>
      <c r="H71">
        <v>-0.43733788286476294</v>
      </c>
      <c r="I71">
        <v>1.0098981787962664E-2</v>
      </c>
      <c r="J71">
        <v>7.5646266515725098E-5</v>
      </c>
      <c r="L71">
        <v>0.44852824483223336</v>
      </c>
      <c r="M71">
        <v>-0.86770808655801979</v>
      </c>
      <c r="N71">
        <v>0.98117866422162847</v>
      </c>
    </row>
    <row r="72" spans="1:14" x14ac:dyDescent="0.25">
      <c r="A72" s="2" t="str">
        <f t="shared" si="0"/>
        <v>TPT</v>
      </c>
      <c r="B72" s="2">
        <v>-1.1698614761101329</v>
      </c>
      <c r="C72" s="2">
        <v>0.98117866422162847</v>
      </c>
      <c r="D72" s="2">
        <v>-0.74538955508466542</v>
      </c>
      <c r="E72" s="2">
        <v>0.10355428696626937</v>
      </c>
      <c r="G72">
        <v>-0.34431394239258839</v>
      </c>
      <c r="H72">
        <v>0.49452875496979787</v>
      </c>
      <c r="I72">
        <v>-0.1502274960696505</v>
      </c>
      <c r="J72">
        <v>1.2683492441325133E-5</v>
      </c>
      <c r="L72">
        <v>1.0749988305005129</v>
      </c>
      <c r="M72">
        <v>5.0108507022226793E-2</v>
      </c>
      <c r="N72">
        <v>-0.74538955508466542</v>
      </c>
    </row>
    <row r="73" spans="1:14" x14ac:dyDescent="0.25">
      <c r="L73">
        <v>-1.9188711262721072</v>
      </c>
      <c r="M73">
        <v>0.61761342366344885</v>
      </c>
      <c r="N73">
        <v>0.10355428696626937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71"/>
  <sheetViews>
    <sheetView topLeftCell="A33" zoomScale="83" zoomScaleNormal="164" workbookViewId="0">
      <selection activeCell="G40" sqref="G40"/>
    </sheetView>
  </sheetViews>
  <sheetFormatPr defaultRowHeight="15" x14ac:dyDescent="0.25"/>
  <cols>
    <col min="1" max="1" width="37.5703125" bestFit="1" customWidth="1"/>
    <col min="2" max="2" width="17.140625" bestFit="1" customWidth="1"/>
    <col min="3" max="3" width="14" bestFit="1" customWidth="1"/>
    <col min="4" max="4" width="16.42578125" bestFit="1" customWidth="1"/>
    <col min="5" max="5" width="12.85546875" bestFit="1" customWidth="1"/>
    <col min="7" max="7" width="9.28515625" bestFit="1" customWidth="1"/>
    <col min="8" max="10" width="12.28515625" bestFit="1" customWidth="1"/>
    <col min="12" max="12" width="9.28515625" bestFit="1" customWidth="1"/>
  </cols>
  <sheetData>
    <row r="1" spans="1:12" x14ac:dyDescent="0.25">
      <c r="A1" s="1" t="s">
        <v>17</v>
      </c>
      <c r="B1" s="3" t="s">
        <v>18</v>
      </c>
    </row>
    <row r="2" spans="1:12" x14ac:dyDescent="0.25">
      <c r="A2" s="1" t="s">
        <v>0</v>
      </c>
    </row>
    <row r="3" spans="1:12" x14ac:dyDescent="0.25">
      <c r="A3" s="1" t="s">
        <v>23</v>
      </c>
      <c r="B3" s="1" t="str">
        <f>'3. Standardisasi Z-Score'!A4</f>
        <v>Kota Jakarta Pusat</v>
      </c>
      <c r="C3" s="1" t="str">
        <f>'3. Standardisasi Z-Score'!A5</f>
        <v>Bandung Barat</v>
      </c>
      <c r="D3" s="1" t="str">
        <f>'3. Standardisasi Z-Score'!A6</f>
        <v>Kota Tasikmalaya</v>
      </c>
      <c r="E3" s="1" t="str">
        <f>'3. Standardisasi Z-Score'!A7</f>
        <v>Kota Cilegon</v>
      </c>
    </row>
    <row r="4" spans="1:12" x14ac:dyDescent="0.25">
      <c r="A4" s="1" t="str">
        <f>'3. Standardisasi Z-Score'!A4</f>
        <v>Kota Jakarta Pusat</v>
      </c>
      <c r="B4" s="2">
        <f>SUMPRODUCT('3. Standardisasi Z-Score'!$B4:$D4, '3. Standardisasi Z-Score'!$B4:$D4)</f>
        <v>2.9147191858547012</v>
      </c>
      <c r="C4" s="2">
        <f>SUMPRODUCT('3. Standardisasi Z-Score'!$B4:$D4, '3. Standardisasi Z-Score'!$B5:$D5)</f>
        <v>-2.496130857640912</v>
      </c>
      <c r="D4" s="2">
        <f>SUMPRODUCT('3. Standardisasi Z-Score'!$B4:$D4, '3. Standardisasi Z-Score'!$B6:$D6)</f>
        <v>-1.5772095312680179</v>
      </c>
      <c r="E4" s="2">
        <f>SUMPRODUCT('3. Standardisasi Z-Score'!$B4:$D4, '3. Standardisasi Z-Score'!$B7:$D7)</f>
        <v>1.1586212030542331</v>
      </c>
      <c r="G4">
        <f>B4*B4</f>
        <v>8.4955879323894923</v>
      </c>
      <c r="H4">
        <f t="shared" ref="H4:H7" si="0">C4*C4</f>
        <v>6.230669258467155</v>
      </c>
      <c r="I4">
        <f t="shared" ref="I4:I7" si="1">D4*D4</f>
        <v>2.4875899055226807</v>
      </c>
      <c r="J4">
        <f t="shared" ref="J4:J7" si="2">E4*E4</f>
        <v>1.3424030921668384</v>
      </c>
    </row>
    <row r="5" spans="1:12" x14ac:dyDescent="0.25">
      <c r="A5" s="1" t="str">
        <f>'3. Standardisasi Z-Score'!A5</f>
        <v>Bandung Barat</v>
      </c>
      <c r="B5" s="2">
        <f>SUMPRODUCT('3. Standardisasi Z-Score'!$B5:$D5, '3. Standardisasi Z-Score'!$B4:$D4)</f>
        <v>-2.496130857640912</v>
      </c>
      <c r="C5" s="2">
        <f>SUMPRODUCT('3. Standardisasi Z-Score'!$B5:$D5, '3. Standardisasi Z-Score'!$B5:$D5)</f>
        <v>2.6269508030730546</v>
      </c>
      <c r="D5" s="2">
        <f>SUMPRODUCT('3. Standardisasi Z-Score'!$B5:$D5, '3. Standardisasi Z-Score'!$B6:$D6)</f>
        <v>0.12881686855437091</v>
      </c>
      <c r="E5" s="2">
        <f>SUMPRODUCT('3. Standardisasi Z-Score'!$B5:$D5, '3. Standardisasi Z-Score'!$B7:$D7)</f>
        <v>-0.25963681398651706</v>
      </c>
      <c r="G5">
        <f t="shared" ref="G5:G7" si="3">B5*B5</f>
        <v>6.230669258467155</v>
      </c>
      <c r="H5">
        <f t="shared" si="0"/>
        <v>6.9008705217661666</v>
      </c>
      <c r="I5">
        <f t="shared" si="1"/>
        <v>1.6593785624154072E-2</v>
      </c>
      <c r="J5">
        <f t="shared" si="2"/>
        <v>6.7411275177069255E-2</v>
      </c>
    </row>
    <row r="6" spans="1:12" x14ac:dyDescent="0.25">
      <c r="A6" s="1" t="str">
        <f>'3. Standardisasi Z-Score'!A6</f>
        <v>Kota Tasikmalaya</v>
      </c>
      <c r="B6" s="2">
        <f>SUMPRODUCT('3. Standardisasi Z-Score'!$B6:$D6, '3. Standardisasi Z-Score'!$B4:$D4)</f>
        <v>-1.5772095312680179</v>
      </c>
      <c r="C6" s="2">
        <f>SUMPRODUCT('3. Standardisasi Z-Score'!$B6:$D6, '3. Standardisasi Z-Score'!$B5:$D5)</f>
        <v>0.12881686855437091</v>
      </c>
      <c r="D6" s="2">
        <f>SUMPRODUCT('3. Standardisasi Z-Score'!$B6:$D6, '3. Standardisasi Z-Score'!$B6:$D6)</f>
        <v>4.4028535314267447</v>
      </c>
      <c r="E6" s="2">
        <f>SUMPRODUCT('3. Standardisasi Z-Score'!$B6:$D6, '3. Standardisasi Z-Score'!$B7:$D7)</f>
        <v>-2.9544608687130998</v>
      </c>
      <c r="G6">
        <f t="shared" si="3"/>
        <v>2.4875899055226807</v>
      </c>
      <c r="H6">
        <f t="shared" si="0"/>
        <v>1.6593785624154072E-2</v>
      </c>
      <c r="I6">
        <f t="shared" si="1"/>
        <v>19.385119219196959</v>
      </c>
      <c r="J6">
        <f t="shared" si="2"/>
        <v>8.7288390247569634</v>
      </c>
    </row>
    <row r="7" spans="1:12" x14ac:dyDescent="0.25">
      <c r="A7" s="1" t="str">
        <f>'3. Standardisasi Z-Score'!A7</f>
        <v>Kota Cilegon</v>
      </c>
      <c r="B7" s="2">
        <f>SUMPRODUCT('3. Standardisasi Z-Score'!$B7:$D7, '3. Standardisasi Z-Score'!$B4:$D4)</f>
        <v>1.1586212030542331</v>
      </c>
      <c r="C7" s="2">
        <f>SUMPRODUCT('3. Standardisasi Z-Score'!$B7:$D7, '3. Standardisasi Z-Score'!$B5:$D5)</f>
        <v>-0.25963681398651706</v>
      </c>
      <c r="D7" s="2">
        <f>SUMPRODUCT('3. Standardisasi Z-Score'!$B7:$D7, '3. Standardisasi Z-Score'!$B6:$D6)</f>
        <v>-2.9544608687130998</v>
      </c>
      <c r="E7" s="2">
        <f>SUMPRODUCT('3. Standardisasi Z-Score'!$B7:$D7, '3. Standardisasi Z-Score'!$B7:$D7)</f>
        <v>2.0554764796453848</v>
      </c>
      <c r="G7">
        <f t="shared" si="3"/>
        <v>1.3424030921668384</v>
      </c>
      <c r="H7">
        <f t="shared" si="0"/>
        <v>6.7411275177069255E-2</v>
      </c>
      <c r="I7">
        <f t="shared" si="1"/>
        <v>8.7288390247569634</v>
      </c>
      <c r="J7">
        <f t="shared" si="2"/>
        <v>4.2249835583753841</v>
      </c>
      <c r="L7">
        <f>SUM(G4:J7)</f>
        <v>76.753573915157716</v>
      </c>
    </row>
    <row r="8" spans="1:12" x14ac:dyDescent="0.25">
      <c r="A8" s="1" t="s">
        <v>13</v>
      </c>
    </row>
    <row r="9" spans="1:12" x14ac:dyDescent="0.25">
      <c r="A9" s="1" t="s">
        <v>23</v>
      </c>
      <c r="B9" s="1" t="str">
        <f>'3. Standardisasi Z-Score'!A10</f>
        <v>Kota Jakarta Pusat</v>
      </c>
      <c r="C9" s="1" t="str">
        <f>'3. Standardisasi Z-Score'!A11</f>
        <v>Bandung Barat</v>
      </c>
      <c r="D9" s="1" t="str">
        <f>'3. Standardisasi Z-Score'!A12</f>
        <v>Kota Tasikmalaya</v>
      </c>
      <c r="E9" s="1" t="str">
        <f>'3. Standardisasi Z-Score'!A13</f>
        <v>Kota Cilegon</v>
      </c>
    </row>
    <row r="10" spans="1:12" x14ac:dyDescent="0.25">
      <c r="A10" s="1" t="str">
        <f>'3. Standardisasi Z-Score'!A10</f>
        <v>Kota Jakarta Pusat</v>
      </c>
      <c r="B10" s="2">
        <f>SUMPRODUCT('3. Standardisasi Z-Score'!$B10:$D10, '3. Standardisasi Z-Score'!$B10:$D10)</f>
        <v>3.5800230825240762</v>
      </c>
      <c r="C10" s="2">
        <f>SUMPRODUCT('3. Standardisasi Z-Score'!$B10:$D10, '3. Standardisasi Z-Score'!$B11:$D11)</f>
        <v>-3.8966387576161736</v>
      </c>
      <c r="D10" s="2">
        <f>SUMPRODUCT('3. Standardisasi Z-Score'!$B10:$D10, '3. Standardisasi Z-Score'!$B12:$D12)</f>
        <v>-0.53047560290667217</v>
      </c>
      <c r="E10" s="2">
        <f>SUMPRODUCT('3. Standardisasi Z-Score'!$B10:$D10, '3. Standardisasi Z-Score'!$B13:$D13)</f>
        <v>0.84709127799877093</v>
      </c>
      <c r="G10">
        <f>B10*B10</f>
        <v>12.816565271405189</v>
      </c>
      <c r="H10">
        <f t="shared" ref="H10:H13" si="4">C10*C10</f>
        <v>15.183793607356517</v>
      </c>
      <c r="I10">
        <f t="shared" ref="I10:I13" si="5">D10*D10</f>
        <v>0.28140436527919732</v>
      </c>
      <c r="J10">
        <f t="shared" ref="J10:J13" si="6">E10*E10</f>
        <v>0.71756363326159101</v>
      </c>
    </row>
    <row r="11" spans="1:12" x14ac:dyDescent="0.25">
      <c r="A11" s="1" t="str">
        <f>'3. Standardisasi Z-Score'!A11</f>
        <v>Bandung Barat</v>
      </c>
      <c r="B11" s="2">
        <f>SUMPRODUCT('3. Standardisasi Z-Score'!$B11:$D11, '3. Standardisasi Z-Score'!$B10:$D10)</f>
        <v>-3.8966387576161736</v>
      </c>
      <c r="C11" s="2">
        <f>SUMPRODUCT('3. Standardisasi Z-Score'!$B11:$D11, '3. Standardisasi Z-Score'!$B11:$D11)</f>
        <v>4.4638527385591988</v>
      </c>
      <c r="D11" s="2">
        <f>SUMPRODUCT('3. Standardisasi Z-Score'!$B11:$D11, '3. Standardisasi Z-Score'!$B12:$D12)</f>
        <v>-0.11282886841710127</v>
      </c>
      <c r="E11" s="2">
        <f>SUMPRODUCT('3. Standardisasi Z-Score'!$B11:$D11, '3. Standardisasi Z-Score'!$B13:$D13)</f>
        <v>-0.45438511252592362</v>
      </c>
      <c r="G11">
        <f t="shared" ref="G11:G13" si="7">B11*B11</f>
        <v>15.183793607356517</v>
      </c>
      <c r="H11">
        <f t="shared" si="4"/>
        <v>19.925981271542458</v>
      </c>
      <c r="I11">
        <f t="shared" si="5"/>
        <v>1.2730353548283552E-2</v>
      </c>
      <c r="J11">
        <f t="shared" si="6"/>
        <v>0.20646583048519626</v>
      </c>
    </row>
    <row r="12" spans="1:12" x14ac:dyDescent="0.25">
      <c r="A12" s="1" t="str">
        <f>'3. Standardisasi Z-Score'!A12</f>
        <v>Kota Tasikmalaya</v>
      </c>
      <c r="B12" s="2">
        <f>SUMPRODUCT('3. Standardisasi Z-Score'!$B12:$D12, '3. Standardisasi Z-Score'!$B10:$D10)</f>
        <v>-0.53047560290667217</v>
      </c>
      <c r="C12" s="2">
        <f>SUMPRODUCT('3. Standardisasi Z-Score'!$B12:$D12, '3. Standardisasi Z-Score'!$B11:$D11)</f>
        <v>-0.11282886841710127</v>
      </c>
      <c r="D12" s="2">
        <f>SUMPRODUCT('3. Standardisasi Z-Score'!$B12:$D12, '3. Standardisasi Z-Score'!$B12:$D12)</f>
        <v>2.4960674078566329</v>
      </c>
      <c r="E12" s="2">
        <f>SUMPRODUCT('3. Standardisasi Z-Score'!$B12:$D12, '3. Standardisasi Z-Score'!$B13:$D13)</f>
        <v>-1.8527629365328628</v>
      </c>
      <c r="G12">
        <f t="shared" si="7"/>
        <v>0.28140436527919732</v>
      </c>
      <c r="H12">
        <f t="shared" si="4"/>
        <v>1.2730353548283552E-2</v>
      </c>
      <c r="I12">
        <f t="shared" si="5"/>
        <v>6.2303525045641308</v>
      </c>
      <c r="J12">
        <f t="shared" si="6"/>
        <v>3.4327304989898773</v>
      </c>
    </row>
    <row r="13" spans="1:12" x14ac:dyDescent="0.25">
      <c r="A13" s="1" t="str">
        <f>'3. Standardisasi Z-Score'!A13</f>
        <v>Kota Cilegon</v>
      </c>
      <c r="B13" s="2">
        <f>SUMPRODUCT('3. Standardisasi Z-Score'!$B13:$D13, '3. Standardisasi Z-Score'!$B10:$D10)</f>
        <v>0.84709127799877093</v>
      </c>
      <c r="C13" s="2">
        <f>SUMPRODUCT('3. Standardisasi Z-Score'!$B13:$D13, '3. Standardisasi Z-Score'!$B11:$D11)</f>
        <v>-0.45438511252592362</v>
      </c>
      <c r="D13" s="2">
        <f>SUMPRODUCT('3. Standardisasi Z-Score'!$B13:$D13, '3. Standardisasi Z-Score'!$B12:$D12)</f>
        <v>-1.8527629365328628</v>
      </c>
      <c r="E13" s="2">
        <f>SUMPRODUCT('3. Standardisasi Z-Score'!$B13:$D13, '3. Standardisasi Z-Score'!$B13:$D13)</f>
        <v>1.4600567710600181</v>
      </c>
      <c r="G13">
        <f t="shared" si="7"/>
        <v>0.71756363326159101</v>
      </c>
      <c r="H13">
        <f t="shared" si="4"/>
        <v>0.20646583048519626</v>
      </c>
      <c r="I13">
        <f t="shared" si="5"/>
        <v>3.4327304989898773</v>
      </c>
      <c r="J13">
        <f t="shared" si="6"/>
        <v>2.1317657747182062</v>
      </c>
      <c r="L13">
        <f>SUM(G10:J13)</f>
        <v>80.774041400071312</v>
      </c>
    </row>
    <row r="14" spans="1:12" x14ac:dyDescent="0.25">
      <c r="A14" s="1" t="s">
        <v>14</v>
      </c>
    </row>
    <row r="15" spans="1:12" x14ac:dyDescent="0.25">
      <c r="A15" s="1" t="s">
        <v>23</v>
      </c>
      <c r="B15" s="1" t="str">
        <f>'3. Standardisasi Z-Score'!A16</f>
        <v>Kota Jakarta Pusat</v>
      </c>
      <c r="C15" s="1" t="str">
        <f>'3. Standardisasi Z-Score'!A17</f>
        <v>Bandung Barat</v>
      </c>
      <c r="D15" s="1" t="str">
        <f>'3. Standardisasi Z-Score'!A18</f>
        <v>Kota Tasikmalaya</v>
      </c>
      <c r="E15" s="1" t="str">
        <f>'3. Standardisasi Z-Score'!A19</f>
        <v>Kota Cilegon</v>
      </c>
    </row>
    <row r="16" spans="1:12" x14ac:dyDescent="0.25">
      <c r="A16" s="1" t="str">
        <f>'3. Standardisasi Z-Score'!A16</f>
        <v>Kota Jakarta Pusat</v>
      </c>
      <c r="B16" s="2">
        <f>SUMPRODUCT('3. Standardisasi Z-Score'!$B16:$D16, '3. Standardisasi Z-Score'!$B16:$D16)</f>
        <v>3.8387521416856405</v>
      </c>
      <c r="C16" s="2">
        <f>SUMPRODUCT('3. Standardisasi Z-Score'!$B16:$D16, '3. Standardisasi Z-Score'!$B17:$D17)</f>
        <v>-4.1580262096166045</v>
      </c>
      <c r="D16" s="2">
        <f>SUMPRODUCT('3. Standardisasi Z-Score'!$B16:$D16, '3. Standardisasi Z-Score'!$B18:$D18)</f>
        <v>-0.65677046400752492</v>
      </c>
      <c r="E16" s="2">
        <f>SUMPRODUCT('3. Standardisasi Z-Score'!$B16:$D16, '3. Standardisasi Z-Score'!$B19:$D19)</f>
        <v>0.97604453193848451</v>
      </c>
      <c r="G16">
        <f>B16*B16</f>
        <v>14.736018005296092</v>
      </c>
      <c r="H16">
        <f t="shared" ref="H16:H19" si="8">C16*C16</f>
        <v>17.289181959858627</v>
      </c>
      <c r="I16">
        <f t="shared" ref="I16:I19" si="9">D16*D16</f>
        <v>0.4313474423926596</v>
      </c>
      <c r="J16">
        <f t="shared" ref="J16:J19" si="10">E16*E16</f>
        <v>0.95266292832701527</v>
      </c>
    </row>
    <row r="17" spans="1:12" x14ac:dyDescent="0.25">
      <c r="A17" s="1" t="str">
        <f>'3. Standardisasi Z-Score'!A17</f>
        <v>Bandung Barat</v>
      </c>
      <c r="B17" s="2">
        <f>SUMPRODUCT('3. Standardisasi Z-Score'!$B17:$D17, '3. Standardisasi Z-Score'!$B16:$D16)</f>
        <v>-4.1580262096166045</v>
      </c>
      <c r="C17" s="2">
        <f>SUMPRODUCT('3. Standardisasi Z-Score'!$B17:$D17, '3. Standardisasi Z-Score'!$B17:$D17)</f>
        <v>4.5620909732726584</v>
      </c>
      <c r="D17" s="2">
        <f>SUMPRODUCT('3. Standardisasi Z-Score'!$B17:$D17, '3. Standardisasi Z-Score'!$B18:$D18)</f>
        <v>0.39119224516317508</v>
      </c>
      <c r="E17" s="2">
        <f>SUMPRODUCT('3. Standardisasi Z-Score'!$B17:$D17, '3. Standardisasi Z-Score'!$B19:$D19)</f>
        <v>-0.79525700881922623</v>
      </c>
      <c r="G17">
        <f t="shared" ref="G17:G19" si="11">B17*B17</f>
        <v>17.289181959858627</v>
      </c>
      <c r="H17">
        <f t="shared" si="8"/>
        <v>20.812674048415872</v>
      </c>
      <c r="I17">
        <f t="shared" si="9"/>
        <v>0.15303137267580569</v>
      </c>
      <c r="J17">
        <f t="shared" si="10"/>
        <v>0.63243371007610283</v>
      </c>
    </row>
    <row r="18" spans="1:12" x14ac:dyDescent="0.25">
      <c r="A18" s="1" t="str">
        <f>'3. Standardisasi Z-Score'!A18</f>
        <v>Kota Tasikmalaya</v>
      </c>
      <c r="B18" s="2">
        <f>SUMPRODUCT('3. Standardisasi Z-Score'!$B18:$D18, '3. Standardisasi Z-Score'!$B16:$D16)</f>
        <v>-0.65677046400752492</v>
      </c>
      <c r="C18" s="2">
        <f>SUMPRODUCT('3. Standardisasi Z-Score'!$B18:$D18, '3. Standardisasi Z-Score'!$B17:$D17)</f>
        <v>0.39119224516317508</v>
      </c>
      <c r="D18" s="2">
        <f>SUMPRODUCT('3. Standardisasi Z-Score'!$B18:$D18, '3. Standardisasi Z-Score'!$B18:$D18)</f>
        <v>2.0227613135027012</v>
      </c>
      <c r="E18" s="2">
        <f>SUMPRODUCT('3. Standardisasi Z-Score'!$B18:$D18, '3. Standardisasi Z-Score'!$B19:$D19)</f>
        <v>-1.7571830946583471</v>
      </c>
      <c r="G18">
        <f t="shared" si="11"/>
        <v>0.4313474423926596</v>
      </c>
      <c r="H18">
        <f t="shared" si="8"/>
        <v>0.15303137267580569</v>
      </c>
      <c r="I18">
        <f t="shared" si="9"/>
        <v>4.0915633314031732</v>
      </c>
      <c r="J18">
        <f t="shared" si="10"/>
        <v>3.0876924281530855</v>
      </c>
    </row>
    <row r="19" spans="1:12" x14ac:dyDescent="0.25">
      <c r="A19" s="1" t="str">
        <f>'3. Standardisasi Z-Score'!A19</f>
        <v>Kota Cilegon</v>
      </c>
      <c r="B19" s="2">
        <f>SUMPRODUCT('3. Standardisasi Z-Score'!$B19:$D19, '3. Standardisasi Z-Score'!$B16:$D16)</f>
        <v>0.97604453193848451</v>
      </c>
      <c r="C19" s="2">
        <f>SUMPRODUCT('3. Standardisasi Z-Score'!$B19:$D19, '3. Standardisasi Z-Score'!$B17:$D17)</f>
        <v>-0.79525700881922623</v>
      </c>
      <c r="D19" s="2">
        <f>SUMPRODUCT('3. Standardisasi Z-Score'!$B19:$D19, '3. Standardisasi Z-Score'!$B18:$D18)</f>
        <v>-1.7571830946583471</v>
      </c>
      <c r="E19" s="2">
        <f>SUMPRODUCT('3. Standardisasi Z-Score'!$B19:$D19, '3. Standardisasi Z-Score'!$B19:$D19)</f>
        <v>1.5763955715390854</v>
      </c>
      <c r="G19">
        <f t="shared" si="11"/>
        <v>0.95266292832701527</v>
      </c>
      <c r="H19">
        <f t="shared" si="8"/>
        <v>0.63243371007610283</v>
      </c>
      <c r="I19">
        <f t="shared" si="9"/>
        <v>3.0876924281530855</v>
      </c>
      <c r="J19">
        <f t="shared" si="10"/>
        <v>2.4850229979680396</v>
      </c>
      <c r="L19">
        <f>SUM(G16:J19)</f>
        <v>87.217978066049795</v>
      </c>
    </row>
    <row r="20" spans="1:12" x14ac:dyDescent="0.25">
      <c r="A20" s="1" t="s">
        <v>27</v>
      </c>
    </row>
    <row r="21" spans="1:12" x14ac:dyDescent="0.25">
      <c r="A21" s="1" t="s">
        <v>0</v>
      </c>
    </row>
    <row r="22" spans="1:12" x14ac:dyDescent="0.25">
      <c r="A22" s="1" t="s">
        <v>26</v>
      </c>
      <c r="B22" s="1" t="str">
        <f>'3. Standardisasi Z-Score'!A23</f>
        <v>PPM</v>
      </c>
      <c r="C22" s="1" t="str">
        <f>'3. Standardisasi Z-Score'!A24</f>
        <v>RLS</v>
      </c>
      <c r="D22" s="1" t="str">
        <f>'3. Standardisasi Z-Score'!A25</f>
        <v>TPT</v>
      </c>
    </row>
    <row r="23" spans="1:12" x14ac:dyDescent="0.25">
      <c r="A23" s="1" t="str">
        <f>'3. Standardisasi Z-Score'!A23</f>
        <v>PPM</v>
      </c>
      <c r="B23" s="2">
        <f>SUMPRODUCT('3. Standardisasi Z-Score'!$B23:$E23, '3. Standardisasi Z-Score'!$B23:$E23)</f>
        <v>3.9999999999999969</v>
      </c>
      <c r="C23" s="2">
        <f>SUMPRODUCT('3. Standardisasi Z-Score'!$B23:$E23, '3. Standardisasi Z-Score'!$B24:$E24)</f>
        <v>-2.7077330636924533</v>
      </c>
      <c r="D23" s="2">
        <f>SUMPRODUCT('3. Standardisasi Z-Score'!$B23:$E23, '3. Standardisasi Z-Score'!$B25:$E25)</f>
        <v>-2.6419358705699763</v>
      </c>
      <c r="G23">
        <f>B23*B23</f>
        <v>15.999999999999975</v>
      </c>
      <c r="H23">
        <f t="shared" ref="H23:H25" si="12">C23*C23</f>
        <v>7.3318183442133193</v>
      </c>
      <c r="I23">
        <f t="shared" ref="I23:I25" si="13">D23*D23</f>
        <v>6.9798251442043382</v>
      </c>
    </row>
    <row r="24" spans="1:12" x14ac:dyDescent="0.25">
      <c r="A24" s="1" t="str">
        <f>'3. Standardisasi Z-Score'!A24</f>
        <v>RLS</v>
      </c>
      <c r="B24" s="2">
        <f>SUMPRODUCT('3. Standardisasi Z-Score'!$B24:$E24, '3. Standardisasi Z-Score'!$B23:$E23)</f>
        <v>-2.7077330636924533</v>
      </c>
      <c r="C24" s="2">
        <f>SUMPRODUCT('3. Standardisasi Z-Score'!$B24:$E24, '3. Standardisasi Z-Score'!$B24:$E24)</f>
        <v>3.9999999999999085</v>
      </c>
      <c r="D24" s="2">
        <f>SUMPRODUCT('3. Standardisasi Z-Score'!$B24:$E24, '3. Standardisasi Z-Score'!$B25:$E25)</f>
        <v>-0.25523218676660675</v>
      </c>
      <c r="G24">
        <f t="shared" ref="G24:G25" si="14">B24*B24</f>
        <v>7.3318183442133193</v>
      </c>
      <c r="H24">
        <f t="shared" si="12"/>
        <v>15.999999999999268</v>
      </c>
      <c r="I24">
        <f t="shared" si="13"/>
        <v>6.5143469161664025E-2</v>
      </c>
    </row>
    <row r="25" spans="1:12" x14ac:dyDescent="0.25">
      <c r="A25" s="1" t="str">
        <f>'3. Standardisasi Z-Score'!A25</f>
        <v>TPT</v>
      </c>
      <c r="B25" s="2">
        <f>SUMPRODUCT('3. Standardisasi Z-Score'!$B25:$E25, '3. Standardisasi Z-Score'!$B23:$E23)</f>
        <v>-2.6419358705699763</v>
      </c>
      <c r="C25" s="2">
        <f>SUMPRODUCT('3. Standardisasi Z-Score'!$B25:$E25, '3. Standardisasi Z-Score'!$B24:$E24)</f>
        <v>-0.25523218676660675</v>
      </c>
      <c r="D25" s="2">
        <f>SUMPRODUCT('3. Standardisasi Z-Score'!$B25:$E25, '3. Standardisasi Z-Score'!$B25:$E25)</f>
        <v>3.9999999999999796</v>
      </c>
      <c r="G25">
        <f t="shared" si="14"/>
        <v>6.9798251442043382</v>
      </c>
      <c r="H25">
        <f t="shared" si="12"/>
        <v>6.5143469161664025E-2</v>
      </c>
      <c r="I25">
        <f t="shared" si="13"/>
        <v>15.999999999999837</v>
      </c>
      <c r="L25">
        <f>SUM(G23:I25)</f>
        <v>76.753573915157716</v>
      </c>
    </row>
    <row r="26" spans="1:12" x14ac:dyDescent="0.25">
      <c r="A26" s="1" t="s">
        <v>13</v>
      </c>
    </row>
    <row r="27" spans="1:12" x14ac:dyDescent="0.25">
      <c r="A27" s="1" t="s">
        <v>26</v>
      </c>
      <c r="B27" s="1" t="str">
        <f>'3. Standardisasi Z-Score'!A28</f>
        <v>PPM</v>
      </c>
      <c r="C27" s="1" t="str">
        <f>'3. Standardisasi Z-Score'!A29</f>
        <v>RLS</v>
      </c>
      <c r="D27" s="1" t="str">
        <f>'3. Standardisasi Z-Score'!A30</f>
        <v>TPT</v>
      </c>
    </row>
    <row r="28" spans="1:12" x14ac:dyDescent="0.25">
      <c r="A28" s="1" t="str">
        <f>'3. Standardisasi Z-Score'!A28</f>
        <v>PPM</v>
      </c>
      <c r="B28" s="2">
        <f>SUMPRODUCT('3. Standardisasi Z-Score'!$B28:$E28, '3. Standardisasi Z-Score'!$B28:$E28)</f>
        <v>4.0000000000000098</v>
      </c>
      <c r="C28" s="2">
        <f>SUMPRODUCT('3. Standardisasi Z-Score'!$B28:$E28, '3. Standardisasi Z-Score'!$B29:$E29)</f>
        <v>-2.8465748446823653</v>
      </c>
      <c r="D28" s="2">
        <f>SUMPRODUCT('3. Standardisasi Z-Score'!$B28:$E28, '3. Standardisasi Z-Score'!$B30:$E30)</f>
        <v>0.14860986533004572</v>
      </c>
      <c r="G28">
        <f>B28*B28</f>
        <v>16.000000000000078</v>
      </c>
      <c r="H28">
        <f t="shared" ref="H28:H30" si="15">C28*C28</f>
        <v>8.1029883463784316</v>
      </c>
      <c r="I28">
        <f t="shared" ref="I28:I30" si="16">D28*D28</f>
        <v>2.2084892073414325E-2</v>
      </c>
    </row>
    <row r="29" spans="1:12" x14ac:dyDescent="0.25">
      <c r="A29" s="1" t="str">
        <f>'3. Standardisasi Z-Score'!A29</f>
        <v>RLS</v>
      </c>
      <c r="B29" s="2">
        <f>SUMPRODUCT('3. Standardisasi Z-Score'!$B29:$E29, '3. Standardisasi Z-Score'!$B28:$E28)</f>
        <v>-2.8465748446823653</v>
      </c>
      <c r="C29" s="2">
        <f>SUMPRODUCT('3. Standardisasi Z-Score'!$B29:$E29, '3. Standardisasi Z-Score'!$B29:$E29)</f>
        <v>3.9999999999999325</v>
      </c>
      <c r="D29" s="2">
        <f>SUMPRODUCT('3. Standardisasi Z-Score'!$B29:$E29, '3. Standardisasi Z-Score'!$B30:$E30)</f>
        <v>-2.8743603569462377</v>
      </c>
      <c r="G29">
        <f t="shared" ref="G29:G30" si="17">B29*B29</f>
        <v>8.1029883463784316</v>
      </c>
      <c r="H29">
        <f t="shared" si="15"/>
        <v>15.99999999999946</v>
      </c>
      <c r="I29">
        <f t="shared" si="16"/>
        <v>8.2619474615841035</v>
      </c>
    </row>
    <row r="30" spans="1:12" x14ac:dyDescent="0.25">
      <c r="A30" s="1" t="str">
        <f>'3. Standardisasi Z-Score'!A30</f>
        <v>TPT</v>
      </c>
      <c r="B30" s="2">
        <f>SUMPRODUCT('3. Standardisasi Z-Score'!$B30:$E30, '3. Standardisasi Z-Score'!$B28:$E28)</f>
        <v>0.14860986533004572</v>
      </c>
      <c r="C30" s="2">
        <f>SUMPRODUCT('3. Standardisasi Z-Score'!$B30:$E30, '3. Standardisasi Z-Score'!$B29:$E29)</f>
        <v>-2.8743603569462377</v>
      </c>
      <c r="D30" s="2">
        <f>SUMPRODUCT('3. Standardisasi Z-Score'!$B30:$E30, '3. Standardisasi Z-Score'!$B30:$E30)</f>
        <v>3.9999999999999831</v>
      </c>
      <c r="G30">
        <f t="shared" si="17"/>
        <v>2.2084892073414325E-2</v>
      </c>
      <c r="H30">
        <f t="shared" si="15"/>
        <v>8.2619474615841035</v>
      </c>
      <c r="I30">
        <f t="shared" si="16"/>
        <v>15.999999999999865</v>
      </c>
      <c r="L30">
        <f>SUM(G28:I30)</f>
        <v>80.774041400071297</v>
      </c>
    </row>
    <row r="31" spans="1:12" x14ac:dyDescent="0.25">
      <c r="A31" s="1" t="s">
        <v>14</v>
      </c>
    </row>
    <row r="32" spans="1:12" x14ac:dyDescent="0.25">
      <c r="A32" s="1" t="s">
        <v>26</v>
      </c>
      <c r="B32" s="1" t="str">
        <f>'3. Standardisasi Z-Score'!A33</f>
        <v>PPM</v>
      </c>
      <c r="C32" s="1" t="str">
        <f>'3. Standardisasi Z-Score'!A34</f>
        <v>RLS</v>
      </c>
      <c r="D32" s="1" t="str">
        <f>'3. Standardisasi Z-Score'!A35</f>
        <v>TPT</v>
      </c>
    </row>
    <row r="33" spans="1:12" x14ac:dyDescent="0.25">
      <c r="A33" s="1" t="str">
        <f>'3. Standardisasi Z-Score'!A33</f>
        <v>PPM</v>
      </c>
      <c r="B33" s="2">
        <f>SUMPRODUCT('3. Standardisasi Z-Score'!$B33:$E33, '3. Standardisasi Z-Score'!$B33:$E33)</f>
        <v>3.9999999999999964</v>
      </c>
      <c r="C33" s="2">
        <f>SUMPRODUCT('3. Standardisasi Z-Score'!$B33:$E33, '3. Standardisasi Z-Score'!$B34:$E34)</f>
        <v>-2.9108770060715576</v>
      </c>
      <c r="D33" s="2">
        <f>SUMPRODUCT('3. Standardisasi Z-Score'!$B33:$E33, '3. Standardisasi Z-Score'!$B35:$E35)</f>
        <v>0.7708137244811748</v>
      </c>
      <c r="G33">
        <f>B33*B33</f>
        <v>15.999999999999972</v>
      </c>
      <c r="H33">
        <f t="shared" ref="H33:H35" si="18">C33*C33</f>
        <v>8.4732049444761142</v>
      </c>
      <c r="I33">
        <f t="shared" ref="I33:I35" si="19">D33*D33</f>
        <v>0.5941537978485405</v>
      </c>
    </row>
    <row r="34" spans="1:12" x14ac:dyDescent="0.25">
      <c r="A34" s="1" t="str">
        <f>'3. Standardisasi Z-Score'!A34</f>
        <v>RLS</v>
      </c>
      <c r="B34" s="2">
        <f>SUMPRODUCT('3. Standardisasi Z-Score'!$B34:$E34, '3. Standardisasi Z-Score'!$B33:$E33)</f>
        <v>-2.9108770060715576</v>
      </c>
      <c r="C34" s="2">
        <f>SUMPRODUCT('3. Standardisasi Z-Score'!$B34:$E34, '3. Standardisasi Z-Score'!$B34:$E34)</f>
        <v>4.0000000000000622</v>
      </c>
      <c r="D34" s="2">
        <f>SUMPRODUCT('3. Standardisasi Z-Score'!$B34:$E34, '3. Standardisasi Z-Score'!$B35:$E35)</f>
        <v>-3.2467876879617306</v>
      </c>
      <c r="G34">
        <f t="shared" ref="G34:G35" si="20">B34*B34</f>
        <v>8.4732049444761142</v>
      </c>
      <c r="H34">
        <f t="shared" si="18"/>
        <v>16.000000000000497</v>
      </c>
      <c r="I34">
        <f t="shared" si="19"/>
        <v>10.54163029069988</v>
      </c>
    </row>
    <row r="35" spans="1:12" x14ac:dyDescent="0.25">
      <c r="A35" s="1" t="str">
        <f>'3. Standardisasi Z-Score'!A35</f>
        <v>TPT</v>
      </c>
      <c r="B35" s="2">
        <f>SUMPRODUCT('3. Standardisasi Z-Score'!$B35:$E35, '3. Standardisasi Z-Score'!$B33:$E33)</f>
        <v>0.7708137244811748</v>
      </c>
      <c r="C35" s="2">
        <f>SUMPRODUCT('3. Standardisasi Z-Score'!$B35:$E35, '3. Standardisasi Z-Score'!$B34:$E34)</f>
        <v>-3.2467876879617306</v>
      </c>
      <c r="D35" s="2">
        <f>SUMPRODUCT('3. Standardisasi Z-Score'!$B35:$E35, '3. Standardisasi Z-Score'!$B35:$E35)</f>
        <v>4.0000000000000266</v>
      </c>
      <c r="G35">
        <f t="shared" si="20"/>
        <v>0.5941537978485405</v>
      </c>
      <c r="H35">
        <f t="shared" si="18"/>
        <v>10.54163029069988</v>
      </c>
      <c r="I35">
        <f t="shared" si="19"/>
        <v>16.000000000000213</v>
      </c>
      <c r="L35">
        <f>SUM(G33:I35)</f>
        <v>87.217978066049753</v>
      </c>
    </row>
    <row r="37" spans="1:12" x14ac:dyDescent="0.25">
      <c r="A37" s="1" t="str">
        <f>A1</f>
        <v>Matriks W (Produk Skalar antar Wilayah)</v>
      </c>
      <c r="B37" s="3" t="s">
        <v>77</v>
      </c>
    </row>
    <row r="38" spans="1:12" x14ac:dyDescent="0.25">
      <c r="A38" s="1" t="str">
        <f t="shared" ref="A38:E71" si="21">A2</f>
        <v>Data Tahun 2020</v>
      </c>
    </row>
    <row r="39" spans="1:12" x14ac:dyDescent="0.25">
      <c r="A39" s="1" t="str">
        <f t="shared" si="21"/>
        <v>Score</v>
      </c>
      <c r="B39" s="1" t="str">
        <f>B3</f>
        <v>Kota Jakarta Pusat</v>
      </c>
      <c r="C39" s="1" t="str">
        <f t="shared" ref="C39:E39" si="22">C3</f>
        <v>Bandung Barat</v>
      </c>
      <c r="D39" s="1" t="str">
        <f t="shared" si="22"/>
        <v>Kota Tasikmalaya</v>
      </c>
      <c r="E39" s="1" t="str">
        <f t="shared" si="22"/>
        <v>Kota Cilegon</v>
      </c>
    </row>
    <row r="40" spans="1:12" x14ac:dyDescent="0.25">
      <c r="A40" s="1" t="str">
        <f t="shared" si="21"/>
        <v>Kota Jakarta Pusat</v>
      </c>
      <c r="B40" cm="1">
        <f t="array" ref="B40:E43">MMULT('3. Standardisasi Z-Score'!B41:D44,_xlfn.ANCHORARRAY('3. Standardisasi Z-Score'!G41))</f>
        <v>4.3483949168374334</v>
      </c>
      <c r="C40" s="2">
        <v>-1.8549350580094275</v>
      </c>
      <c r="D40" s="2">
        <v>-1.7132067475354562</v>
      </c>
      <c r="E40" s="2">
        <v>3.0852147797134633</v>
      </c>
      <c r="G40">
        <f>B40*B40</f>
        <v>18.908538352777629</v>
      </c>
      <c r="H40">
        <f t="shared" ref="H40:H43" si="23">C40*C40</f>
        <v>3.4407840694324383</v>
      </c>
      <c r="I40">
        <f t="shared" ref="I40:I43" si="24">D40*D40</f>
        <v>2.9350773598010163</v>
      </c>
      <c r="J40">
        <f t="shared" ref="J40:J43" si="25">E40*E40</f>
        <v>9.518550236962394</v>
      </c>
    </row>
    <row r="41" spans="1:12" x14ac:dyDescent="0.25">
      <c r="A41" s="1" t="str">
        <f t="shared" si="21"/>
        <v>Bandung Barat</v>
      </c>
      <c r="B41" s="2">
        <v>-1.8549350580094275</v>
      </c>
      <c r="C41" s="2">
        <v>1.4623818587167476</v>
      </c>
      <c r="D41" s="2">
        <v>-0.94814668119777612</v>
      </c>
      <c r="E41" s="2">
        <v>-0.21040376463410959</v>
      </c>
      <c r="G41">
        <f t="shared" ref="G41:G43" si="26">B41*B41</f>
        <v>3.4407840694324383</v>
      </c>
      <c r="H41">
        <f t="shared" si="23"/>
        <v>2.1385607007038496</v>
      </c>
      <c r="I41">
        <f t="shared" si="24"/>
        <v>0.89898212906635733</v>
      </c>
      <c r="J41">
        <f t="shared" si="25"/>
        <v>4.4269744172205784E-2</v>
      </c>
    </row>
    <row r="42" spans="1:12" x14ac:dyDescent="0.25">
      <c r="A42" s="1" t="str">
        <f t="shared" si="21"/>
        <v>Kota Tasikmalaya</v>
      </c>
      <c r="B42" s="2">
        <v>-1.7132067475354562</v>
      </c>
      <c r="C42" s="2">
        <v>-0.94814668119777612</v>
      </c>
      <c r="D42" s="2">
        <v>4.8754008642413673</v>
      </c>
      <c r="E42" s="2">
        <v>-3.9818554150690564</v>
      </c>
      <c r="G42">
        <f t="shared" si="26"/>
        <v>2.9350773598010163</v>
      </c>
      <c r="H42">
        <f t="shared" si="23"/>
        <v>0.89898212906635733</v>
      </c>
      <c r="I42">
        <f t="shared" si="24"/>
        <v>23.769533587045473</v>
      </c>
      <c r="J42">
        <f t="shared" si="25"/>
        <v>15.855172546514767</v>
      </c>
    </row>
    <row r="43" spans="1:12" x14ac:dyDescent="0.25">
      <c r="A43" s="1" t="str">
        <f t="shared" si="21"/>
        <v>Kota Cilegon</v>
      </c>
      <c r="B43" s="2">
        <v>3.0852147797134633</v>
      </c>
      <c r="C43" s="2">
        <v>-0.21040376463410959</v>
      </c>
      <c r="D43" s="2">
        <v>-3.9818554150690564</v>
      </c>
      <c r="E43" s="2">
        <v>4.2255740456763373</v>
      </c>
      <c r="G43">
        <f t="shared" si="26"/>
        <v>9.518550236962394</v>
      </c>
      <c r="H43">
        <f t="shared" si="23"/>
        <v>4.4269744172205784E-2</v>
      </c>
      <c r="I43">
        <f t="shared" si="24"/>
        <v>15.855172546514767</v>
      </c>
      <c r="J43">
        <f t="shared" si="25"/>
        <v>17.85547601549349</v>
      </c>
      <c r="L43">
        <f>SUM(G40:J43)</f>
        <v>128.0577808279188</v>
      </c>
    </row>
    <row r="44" spans="1:12" x14ac:dyDescent="0.25">
      <c r="A44" s="1" t="str">
        <f t="shared" si="21"/>
        <v>Data Tahun 2021</v>
      </c>
    </row>
    <row r="45" spans="1:12" x14ac:dyDescent="0.25">
      <c r="A45" s="1" t="str">
        <f t="shared" si="21"/>
        <v>Score</v>
      </c>
      <c r="B45" s="1" t="str">
        <f t="shared" si="21"/>
        <v>Kota Jakarta Pusat</v>
      </c>
      <c r="C45" s="1" t="str">
        <f t="shared" si="21"/>
        <v>Bandung Barat</v>
      </c>
      <c r="D45" s="1" t="str">
        <f t="shared" si="21"/>
        <v>Kota Tasikmalaya</v>
      </c>
      <c r="E45" s="1" t="str">
        <f t="shared" si="21"/>
        <v>Kota Cilegon</v>
      </c>
    </row>
    <row r="46" spans="1:12" x14ac:dyDescent="0.25">
      <c r="A46" s="1" t="str">
        <f t="shared" si="21"/>
        <v>Kota Jakarta Pusat</v>
      </c>
      <c r="B46" cm="1">
        <f t="array" ref="B46:E49">MMULT('3. Standardisasi Z-Score'!B47:D50,_xlfn.ANCHORARRAY('3. Standardisasi Z-Score'!G47))</f>
        <v>5.343074159579853</v>
      </c>
      <c r="C46" s="2">
        <v>-2.9515908962260076</v>
      </c>
      <c r="D46" s="2">
        <v>-0.42328113528901667</v>
      </c>
      <c r="E46" s="2">
        <v>3.1031520158260615</v>
      </c>
      <c r="G46">
        <f>B46*B46</f>
        <v>28.548441474769952</v>
      </c>
      <c r="H46">
        <f t="shared" ref="H46:H49" si="27">C46*C46</f>
        <v>8.7118888186842458</v>
      </c>
      <c r="I46">
        <f t="shared" ref="I46:I49" si="28">D46*D46</f>
        <v>0.17916691949155883</v>
      </c>
      <c r="J46">
        <f t="shared" ref="J46:J49" si="29">E46*E46</f>
        <v>9.6295524333253493</v>
      </c>
    </row>
    <row r="47" spans="1:12" x14ac:dyDescent="0.25">
      <c r="A47" s="1" t="str">
        <f t="shared" si="21"/>
        <v>Bandung Barat</v>
      </c>
      <c r="B47" s="2">
        <v>-2.9515908962260076</v>
      </c>
      <c r="C47" s="2">
        <v>1.9694413726400053</v>
      </c>
      <c r="D47" s="2">
        <v>-0.61421316092821732</v>
      </c>
      <c r="E47" s="2">
        <v>-1.0209187101450241</v>
      </c>
      <c r="G47">
        <f t="shared" ref="G47:G49" si="30">B47*B47</f>
        <v>8.7118888186842458</v>
      </c>
      <c r="H47">
        <f t="shared" si="27"/>
        <v>3.8786993202661484</v>
      </c>
      <c r="I47">
        <f t="shared" si="28"/>
        <v>0.37725780705743217</v>
      </c>
      <c r="J47">
        <f t="shared" si="29"/>
        <v>1.0422750127241798</v>
      </c>
    </row>
    <row r="48" spans="1:12" x14ac:dyDescent="0.25">
      <c r="A48" s="1" t="str">
        <f t="shared" si="21"/>
        <v>Kota Tasikmalaya</v>
      </c>
      <c r="B48" s="2">
        <v>-0.42328113528901667</v>
      </c>
      <c r="C48" s="2">
        <v>-0.61421316092821732</v>
      </c>
      <c r="D48" s="2">
        <v>2.1553565792399185</v>
      </c>
      <c r="E48" s="2">
        <v>-1.9805462557809492</v>
      </c>
      <c r="G48">
        <f t="shared" si="30"/>
        <v>0.17916691949155883</v>
      </c>
      <c r="H48">
        <f t="shared" si="27"/>
        <v>0.37725780705743217</v>
      </c>
      <c r="I48">
        <f t="shared" si="28"/>
        <v>4.6455619836728035</v>
      </c>
      <c r="J48">
        <f t="shared" si="29"/>
        <v>3.9225634712879374</v>
      </c>
    </row>
    <row r="49" spans="1:12" x14ac:dyDescent="0.25">
      <c r="A49" s="1" t="str">
        <f t="shared" si="21"/>
        <v>Kota Cilegon</v>
      </c>
      <c r="B49" s="2">
        <v>3.1031520158260615</v>
      </c>
      <c r="C49" s="2">
        <v>-1.0209187101450241</v>
      </c>
      <c r="D49" s="2">
        <v>-1.9805462557809492</v>
      </c>
      <c r="E49" s="2">
        <v>3.2786388723919604</v>
      </c>
      <c r="G49">
        <f t="shared" si="30"/>
        <v>9.6295524333253493</v>
      </c>
      <c r="H49">
        <f t="shared" si="27"/>
        <v>1.0422750127241798</v>
      </c>
      <c r="I49">
        <f t="shared" si="28"/>
        <v>3.9225634712879374</v>
      </c>
      <c r="J49">
        <f t="shared" si="29"/>
        <v>10.749472855559626</v>
      </c>
      <c r="L49">
        <f>SUM(G46:J49)</f>
        <v>95.547584559409941</v>
      </c>
    </row>
    <row r="50" spans="1:12" x14ac:dyDescent="0.25">
      <c r="A50" s="1" t="str">
        <f t="shared" si="21"/>
        <v>Data Tahun 2022</v>
      </c>
    </row>
    <row r="51" spans="1:12" x14ac:dyDescent="0.25">
      <c r="A51" s="1" t="str">
        <f t="shared" si="21"/>
        <v>Score</v>
      </c>
      <c r="B51" s="1" t="str">
        <f t="shared" si="21"/>
        <v>Kota Jakarta Pusat</v>
      </c>
      <c r="C51" s="1" t="str">
        <f t="shared" si="21"/>
        <v>Bandung Barat</v>
      </c>
      <c r="D51" s="1" t="str">
        <f t="shared" si="21"/>
        <v>Kota Tasikmalaya</v>
      </c>
      <c r="E51" s="1" t="str">
        <f t="shared" si="21"/>
        <v>Kota Cilegon</v>
      </c>
    </row>
    <row r="52" spans="1:12" x14ac:dyDescent="0.25">
      <c r="A52" s="1" t="str">
        <f t="shared" si="21"/>
        <v>Kota Jakarta Pusat</v>
      </c>
      <c r="B52" cm="1">
        <f t="array" ref="B52:E55">MMULT('3. Standardisasi Z-Score'!B53:D56,_xlfn.ANCHORARRAY('3. Standardisasi Z-Score'!G53))</f>
        <v>5.7352861789801555</v>
      </c>
      <c r="C52" s="2">
        <v>-3.0815231025807828</v>
      </c>
      <c r="D52" s="2">
        <v>-0.67144935102181502</v>
      </c>
      <c r="E52" s="2">
        <v>3.6601057645128727</v>
      </c>
      <c r="G52">
        <f>B52*B52</f>
        <v>32.893507554800792</v>
      </c>
      <c r="H52">
        <f t="shared" ref="H52:H55" si="31">C52*C52</f>
        <v>9.4957846317390935</v>
      </c>
      <c r="I52">
        <f t="shared" ref="I52:I55" si="32">D52*D52</f>
        <v>0.45084423098761656</v>
      </c>
      <c r="J52">
        <f t="shared" ref="J52:J55" si="33">E52*E52</f>
        <v>13.39637420742036</v>
      </c>
    </row>
    <row r="53" spans="1:12" x14ac:dyDescent="0.25">
      <c r="A53" s="1" t="str">
        <f t="shared" si="21"/>
        <v>Bandung Barat</v>
      </c>
      <c r="B53" s="2">
        <v>-3.0815231025807828</v>
      </c>
      <c r="C53" s="2">
        <v>1.9168064810142029</v>
      </c>
      <c r="D53" s="2">
        <v>-0.29267254609016291</v>
      </c>
      <c r="E53" s="2">
        <v>-1.2949708034456504</v>
      </c>
      <c r="G53">
        <f t="shared" ref="G53:G55" si="34">B53*B53</f>
        <v>9.4957846317390935</v>
      </c>
      <c r="H53">
        <f t="shared" si="31"/>
        <v>3.6741470856580518</v>
      </c>
      <c r="I53">
        <f t="shared" si="32"/>
        <v>8.5657219234898538E-2</v>
      </c>
      <c r="J53">
        <f t="shared" si="33"/>
        <v>1.6769493817766734</v>
      </c>
    </row>
    <row r="54" spans="1:12" x14ac:dyDescent="0.25">
      <c r="A54" s="1" t="str">
        <f t="shared" si="21"/>
        <v>Kota Tasikmalaya</v>
      </c>
      <c r="B54" s="2">
        <v>-0.67144935102181502</v>
      </c>
      <c r="C54" s="2">
        <v>-0.29267254609016291</v>
      </c>
      <c r="D54" s="2">
        <v>1.7137389368827827</v>
      </c>
      <c r="E54" s="2">
        <v>-2.1090248139359531</v>
      </c>
      <c r="G54">
        <f t="shared" si="34"/>
        <v>0.45084423098761656</v>
      </c>
      <c r="H54">
        <f t="shared" si="31"/>
        <v>8.5657219234898538E-2</v>
      </c>
      <c r="I54">
        <f t="shared" si="32"/>
        <v>2.9369011437881301</v>
      </c>
      <c r="J54">
        <f t="shared" si="33"/>
        <v>4.4479856657975816</v>
      </c>
    </row>
    <row r="55" spans="1:12" x14ac:dyDescent="0.25">
      <c r="A55" s="1" t="str">
        <f t="shared" si="21"/>
        <v>Kota Cilegon</v>
      </c>
      <c r="B55" s="2">
        <v>3.6601057645128727</v>
      </c>
      <c r="C55" s="2">
        <v>-1.2949708034456504</v>
      </c>
      <c r="D55" s="2">
        <v>-2.1090248139359531</v>
      </c>
      <c r="E55" s="2">
        <v>4.0742362306791646</v>
      </c>
      <c r="G55">
        <f t="shared" si="34"/>
        <v>13.39637420742036</v>
      </c>
      <c r="H55">
        <f t="shared" si="31"/>
        <v>1.6769493817766734</v>
      </c>
      <c r="I55">
        <f t="shared" si="32"/>
        <v>4.4479856657975816</v>
      </c>
      <c r="J55">
        <f t="shared" si="33"/>
        <v>16.599400863378769</v>
      </c>
      <c r="L55">
        <f>SUM(G52:J55)</f>
        <v>115.21114732153822</v>
      </c>
    </row>
    <row r="56" spans="1:12" x14ac:dyDescent="0.25">
      <c r="A56" s="1" t="str">
        <f t="shared" si="21"/>
        <v>Matriks S (Produk Skalar antar Variabel)</v>
      </c>
    </row>
    <row r="57" spans="1:12" x14ac:dyDescent="0.25">
      <c r="A57" s="1" t="str">
        <f t="shared" si="21"/>
        <v>Data Tahun 2020</v>
      </c>
    </row>
    <row r="58" spans="1:12" x14ac:dyDescent="0.25">
      <c r="A58" s="1" t="str">
        <f t="shared" si="21"/>
        <v>Loadings</v>
      </c>
      <c r="B58" s="1" t="str">
        <f t="shared" si="21"/>
        <v>PPM</v>
      </c>
      <c r="C58" s="1" t="str">
        <f t="shared" si="21"/>
        <v>RLS</v>
      </c>
      <c r="D58" s="1" t="str">
        <f t="shared" si="21"/>
        <v>TPT</v>
      </c>
    </row>
    <row r="59" spans="1:12" x14ac:dyDescent="0.25">
      <c r="A59" s="1" t="str">
        <f t="shared" si="21"/>
        <v>PPM</v>
      </c>
      <c r="B59" cm="1">
        <f t="array" ref="B59:D61">MMULT(_xlfn.ANCHORARRAY('3. Standardisasi Z-Score'!G60),_xlfn.ANCHORARRAY('3. Standardisasi Z-Score'!L60))</f>
        <v>1.0000000000000002</v>
      </c>
      <c r="C59" s="2">
        <v>-0.8141372497034659</v>
      </c>
      <c r="D59" s="2">
        <v>-0.27808203787720759</v>
      </c>
      <c r="G59">
        <f>B59*B59</f>
        <v>1.0000000000000004</v>
      </c>
      <c r="H59">
        <f t="shared" ref="H59:H61" si="35">C59*C59</f>
        <v>0.66281946135472358</v>
      </c>
      <c r="I59">
        <f t="shared" ref="I59:I61" si="36">D59*D59</f>
        <v>7.7329619789940712E-2</v>
      </c>
    </row>
    <row r="60" spans="1:12" x14ac:dyDescent="0.25">
      <c r="A60" s="1" t="str">
        <f t="shared" si="21"/>
        <v>RLS</v>
      </c>
      <c r="B60" s="2">
        <v>-0.8141372497034659</v>
      </c>
      <c r="C60" s="2">
        <v>1.0000000000000002</v>
      </c>
      <c r="D60" s="2">
        <v>-0.33132158242198845</v>
      </c>
      <c r="G60">
        <f t="shared" ref="G60:G61" si="37">B60*B60</f>
        <v>0.66281946135472358</v>
      </c>
      <c r="H60">
        <f t="shared" si="35"/>
        <v>1.0000000000000004</v>
      </c>
      <c r="I60">
        <f t="shared" si="36"/>
        <v>0.10977399097861049</v>
      </c>
    </row>
    <row r="61" spans="1:12" x14ac:dyDescent="0.25">
      <c r="A61" s="1" t="str">
        <f t="shared" si="21"/>
        <v>TPT</v>
      </c>
      <c r="B61" s="2">
        <v>-0.27808203787720759</v>
      </c>
      <c r="C61" s="2">
        <v>-0.33132158242198845</v>
      </c>
      <c r="D61" s="2">
        <v>1</v>
      </c>
      <c r="G61">
        <f t="shared" si="37"/>
        <v>7.7329619789940712E-2</v>
      </c>
      <c r="H61">
        <f t="shared" si="35"/>
        <v>0.10977399097861049</v>
      </c>
      <c r="I61">
        <f t="shared" si="36"/>
        <v>1</v>
      </c>
      <c r="L61">
        <f>SUM(G59:I61)</f>
        <v>4.6998461442465498</v>
      </c>
    </row>
    <row r="62" spans="1:12" x14ac:dyDescent="0.25">
      <c r="A62" s="1" t="str">
        <f t="shared" si="21"/>
        <v>Data Tahun 2021</v>
      </c>
    </row>
    <row r="63" spans="1:12" x14ac:dyDescent="0.25">
      <c r="A63" s="1" t="str">
        <f t="shared" si="21"/>
        <v>Loadings</v>
      </c>
      <c r="B63" s="1" t="str">
        <f t="shared" si="21"/>
        <v>PPM</v>
      </c>
      <c r="C63" s="1" t="str">
        <f t="shared" si="21"/>
        <v>RLS</v>
      </c>
      <c r="D63" s="1" t="str">
        <f t="shared" si="21"/>
        <v>TPT</v>
      </c>
    </row>
    <row r="64" spans="1:12" x14ac:dyDescent="0.25">
      <c r="A64" s="1" t="str">
        <f t="shared" si="21"/>
        <v>PPM</v>
      </c>
      <c r="B64" cm="1">
        <f t="array" ref="B64:D66">MMULT(_xlfn.ANCHORARRAY('3. Standardisasi Z-Score'!G65),_xlfn.ANCHORARRAY('3. Standardisasi Z-Score'!L65))</f>
        <v>0.99999999999999978</v>
      </c>
      <c r="C64" s="2">
        <v>-0.83069770249394836</v>
      </c>
      <c r="D64" s="2">
        <v>0.45759045975840906</v>
      </c>
      <c r="G64">
        <f>B64*B64</f>
        <v>0.99999999999999956</v>
      </c>
      <c r="H64">
        <f t="shared" ref="H64:H66" si="38">C64*C64</f>
        <v>0.69005867292872436</v>
      </c>
      <c r="I64">
        <f t="shared" ref="I64:I66" si="39">D64*D64</f>
        <v>0.20938902886191219</v>
      </c>
    </row>
    <row r="65" spans="1:12" x14ac:dyDescent="0.25">
      <c r="A65" s="1" t="str">
        <f t="shared" si="21"/>
        <v>RLS</v>
      </c>
      <c r="B65" s="2">
        <v>-0.83069770249394836</v>
      </c>
      <c r="C65" s="2">
        <v>0.99999999999999989</v>
      </c>
      <c r="D65" s="2">
        <v>-0.87512793802886957</v>
      </c>
      <c r="G65">
        <f t="shared" ref="G65:G66" si="40">B65*B65</f>
        <v>0.69005867292872436</v>
      </c>
      <c r="H65">
        <f t="shared" si="38"/>
        <v>0.99999999999999978</v>
      </c>
      <c r="I65">
        <f t="shared" si="39"/>
        <v>0.765848907918661</v>
      </c>
    </row>
    <row r="66" spans="1:12" x14ac:dyDescent="0.25">
      <c r="A66" s="1" t="str">
        <f t="shared" si="21"/>
        <v>TPT</v>
      </c>
      <c r="B66" s="2">
        <v>0.45759045975840906</v>
      </c>
      <c r="C66" s="2">
        <v>-0.87512793802886957</v>
      </c>
      <c r="D66" s="2">
        <v>0.99999999999999978</v>
      </c>
      <c r="G66">
        <f t="shared" si="40"/>
        <v>0.20938902886191219</v>
      </c>
      <c r="H66">
        <f t="shared" si="38"/>
        <v>0.765848907918661</v>
      </c>
      <c r="I66">
        <f t="shared" si="39"/>
        <v>0.99999999999999956</v>
      </c>
      <c r="L66">
        <f>SUM(G64:I66)</f>
        <v>6.3305932194185939</v>
      </c>
    </row>
    <row r="67" spans="1:12" x14ac:dyDescent="0.25">
      <c r="A67" s="1" t="str">
        <f t="shared" si="21"/>
        <v>Data Tahun 2022</v>
      </c>
    </row>
    <row r="68" spans="1:12" x14ac:dyDescent="0.25">
      <c r="A68" s="1" t="str">
        <f t="shared" si="21"/>
        <v>Loadings</v>
      </c>
      <c r="B68" s="1" t="str">
        <f t="shared" si="21"/>
        <v>PPM</v>
      </c>
      <c r="C68" s="1" t="str">
        <f t="shared" si="21"/>
        <v>RLS</v>
      </c>
      <c r="D68" s="1" t="str">
        <f t="shared" si="21"/>
        <v>TPT</v>
      </c>
    </row>
    <row r="69" spans="1:12" x14ac:dyDescent="0.25">
      <c r="A69" s="1" t="str">
        <f t="shared" si="21"/>
        <v>PPM</v>
      </c>
      <c r="B69" cm="1">
        <f t="array" ref="B69:D71">MMULT(_xlfn.ANCHORARRAY('3. Standardisasi Z-Score'!G70),_xlfn.ANCHORARRAY('3. Standardisasi Z-Score'!L70))</f>
        <v>1.0000000000000002</v>
      </c>
      <c r="C69" s="2">
        <v>-0.82765388007181118</v>
      </c>
      <c r="D69" s="2">
        <v>0.57794062265914825</v>
      </c>
      <c r="G69">
        <f>B69*B69</f>
        <v>1.0000000000000004</v>
      </c>
      <c r="H69">
        <f t="shared" ref="H69:H71" si="41">C69*C69</f>
        <v>0.68501094519792405</v>
      </c>
      <c r="I69">
        <f t="shared" ref="I69:I71" si="42">D69*D69</f>
        <v>0.33401536331964399</v>
      </c>
    </row>
    <row r="70" spans="1:12" x14ac:dyDescent="0.25">
      <c r="A70" s="1" t="str">
        <f t="shared" si="21"/>
        <v>RLS</v>
      </c>
      <c r="B70" s="2">
        <v>-0.82765388007181129</v>
      </c>
      <c r="C70" s="2">
        <v>0.99999999999999989</v>
      </c>
      <c r="D70" s="2">
        <v>-0.9363482775816786</v>
      </c>
      <c r="G70">
        <f t="shared" ref="G70:G71" si="43">B70*B70</f>
        <v>0.68501094519792416</v>
      </c>
      <c r="H70">
        <f t="shared" si="41"/>
        <v>0.99999999999999978</v>
      </c>
      <c r="I70">
        <f t="shared" si="42"/>
        <v>0.87674809693017619</v>
      </c>
    </row>
    <row r="71" spans="1:12" x14ac:dyDescent="0.25">
      <c r="A71" s="1" t="str">
        <f t="shared" si="21"/>
        <v>TPT</v>
      </c>
      <c r="B71" s="2">
        <v>0.57794062265914825</v>
      </c>
      <c r="C71" s="2">
        <v>-0.9363482775816786</v>
      </c>
      <c r="D71" s="2">
        <v>1.0000000000000002</v>
      </c>
      <c r="G71">
        <f t="shared" si="43"/>
        <v>0.33401536331964399</v>
      </c>
      <c r="H71">
        <f t="shared" si="41"/>
        <v>0.87674809693017619</v>
      </c>
      <c r="I71">
        <f t="shared" si="42"/>
        <v>1.0000000000000004</v>
      </c>
      <c r="L71">
        <f>SUM(G69:I71)</f>
        <v>6.7915488108954882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E47"/>
  <sheetViews>
    <sheetView topLeftCell="A24" workbookViewId="0">
      <selection activeCell="H27" sqref="H27"/>
    </sheetView>
  </sheetViews>
  <sheetFormatPr defaultRowHeight="15" x14ac:dyDescent="0.25"/>
  <cols>
    <col min="1" max="1" width="38.28515625" bestFit="1" customWidth="1"/>
    <col min="13" max="17" width="12" bestFit="1" customWidth="1"/>
    <col min="20" max="21" width="12" bestFit="1" customWidth="1"/>
  </cols>
  <sheetData>
    <row r="1" spans="1:31" x14ac:dyDescent="0.25">
      <c r="A1" s="1" t="s">
        <v>20</v>
      </c>
    </row>
    <row r="2" spans="1:31" x14ac:dyDescent="0.25">
      <c r="A2" s="1" t="s">
        <v>35</v>
      </c>
    </row>
    <row r="3" spans="1:31" x14ac:dyDescent="0.25">
      <c r="A3" s="2" t="s">
        <v>21</v>
      </c>
      <c r="B3">
        <f>SUMPRODUCT('4. STATIS Intra-struktur'!$B$4:$E$7, '4. STATIS Intra-struktur'!$B$4:$E$7)</f>
        <v>76.753573915157716</v>
      </c>
      <c r="C3">
        <f>SQRT(SUMSQ('4. STATIS Intra-struktur'!$B$4:$E$7))</f>
        <v>8.7609117057049328</v>
      </c>
      <c r="D3">
        <f>SQRT(SUMSQ('4. STATIS Intra-struktur'!$B$4:$E$7))</f>
        <v>8.7609117057049328</v>
      </c>
      <c r="E3">
        <f>C3*D3</f>
        <v>76.753573915157716</v>
      </c>
      <c r="F3" s="2">
        <f>B3/E3</f>
        <v>1</v>
      </c>
      <c r="H3" s="2">
        <f>F3</f>
        <v>1</v>
      </c>
      <c r="I3" s="2">
        <f>F4</f>
        <v>0.89405232507938392</v>
      </c>
      <c r="J3" s="2">
        <f>F5</f>
        <v>0.87153298760271969</v>
      </c>
      <c r="L3">
        <v>1</v>
      </c>
      <c r="M3" cm="1">
        <f t="array" ref="M3:M5">MMULT($H$3:$J$5, L3:L5)</f>
        <v>2.7655853126821035</v>
      </c>
      <c r="N3">
        <f>M3/SUM($M$3:$M$5)</f>
        <v>0.32469613100387557</v>
      </c>
      <c r="O3">
        <f t="shared" ref="O3:V3" si="0">N3/SUM($M$3:$M$5)</f>
        <v>3.8121253032921548E-2</v>
      </c>
      <c r="P3">
        <f t="shared" si="0"/>
        <v>4.4756613770143283E-3</v>
      </c>
      <c r="Q3">
        <f t="shared" si="0"/>
        <v>5.2546921121397901E-4</v>
      </c>
      <c r="R3">
        <f t="shared" si="0"/>
        <v>6.1693204350065671E-5</v>
      </c>
      <c r="S3">
        <f t="shared" si="0"/>
        <v>7.2431483743565717E-6</v>
      </c>
      <c r="T3">
        <f t="shared" si="0"/>
        <v>8.503886112845167E-7</v>
      </c>
      <c r="U3">
        <f t="shared" si="0"/>
        <v>9.9840670496640095E-8</v>
      </c>
      <c r="V3">
        <f t="shared" si="0"/>
        <v>1.1721887326503232E-8</v>
      </c>
      <c r="W3">
        <f>V3/SUM($M$3:$M$5)</f>
        <v>1.3762191480861605E-9</v>
      </c>
      <c r="X3">
        <f t="shared" ref="X3" si="1">W3/SUM($M$3:$M$5)</f>
        <v>1.6157629661536699E-10</v>
      </c>
      <c r="Y3">
        <f>X3/SUM($M$3:$M$5)</f>
        <v>1.8970016268297547E-11</v>
      </c>
      <c r="Z3">
        <f t="shared" ref="Z3:AC3" si="2">Y3/SUM($M$3:$M$5)</f>
        <v>2.2271925075503206E-12</v>
      </c>
      <c r="AA3">
        <f t="shared" si="2"/>
        <v>2.6148562001910456E-13</v>
      </c>
      <c r="AB3">
        <f t="shared" si="2"/>
        <v>3.0699963853587408E-14</v>
      </c>
      <c r="AC3">
        <f t="shared" si="2"/>
        <v>3.6043579778601734E-15</v>
      </c>
      <c r="AD3">
        <f>AC3/SUM($M$3:$M$5)</f>
        <v>4.2317302048048451E-16</v>
      </c>
      <c r="AE3">
        <f t="shared" ref="AE3" si="3">AD3/SUM($M$3:$M$5)</f>
        <v>4.9683024372870314E-17</v>
      </c>
    </row>
    <row r="4" spans="1:31" x14ac:dyDescent="0.25">
      <c r="A4" s="2" t="s">
        <v>19</v>
      </c>
      <c r="B4">
        <f>SUMPRODUCT('4. STATIS Intra-struktur'!$B$4:$E$7, '4. STATIS Intra-struktur'!$B$10:$E$13)</f>
        <v>70.39602660001907</v>
      </c>
      <c r="C4">
        <f>SQRT(SUMSQ('4. STATIS Intra-struktur'!$B$4:$E$7))</f>
        <v>8.7609117057049328</v>
      </c>
      <c r="D4">
        <f>SQRT(SUMSQ('4. STATIS Intra-struktur'!$B$10:$E$13))</f>
        <v>8.98743797753683</v>
      </c>
      <c r="E4">
        <f t="shared" ref="E4:E11" si="4">C4*D4</f>
        <v>78.738150581699486</v>
      </c>
      <c r="F4" s="2">
        <f t="shared" ref="F4:F11" si="5">B4/E4</f>
        <v>0.89405232507938392</v>
      </c>
      <c r="H4" s="2">
        <f>F6</f>
        <v>0.89405232507938392</v>
      </c>
      <c r="I4" s="2">
        <f>F7</f>
        <v>1</v>
      </c>
      <c r="J4" s="2">
        <f>F8</f>
        <v>0.99314315465693881</v>
      </c>
      <c r="L4">
        <v>1</v>
      </c>
      <c r="M4">
        <v>2.8871954797363228</v>
      </c>
      <c r="N4">
        <f t="shared" ref="N4:V5" si="6">M4/SUM($M$3:$M$5)</f>
        <v>0.33897388644037141</v>
      </c>
      <c r="O4">
        <f t="shared" si="6"/>
        <v>3.9797546267626993E-2</v>
      </c>
      <c r="P4">
        <f t="shared" si="6"/>
        <v>4.6724681525062662E-3</v>
      </c>
      <c r="Q4">
        <f t="shared" si="6"/>
        <v>5.4857549481497462E-4</v>
      </c>
      <c r="R4">
        <f t="shared" si="6"/>
        <v>6.4406019193533854E-5</v>
      </c>
      <c r="S4">
        <f t="shared" si="6"/>
        <v>7.5616489390524961E-6</v>
      </c>
      <c r="T4">
        <f t="shared" si="6"/>
        <v>8.8778246805873488E-7</v>
      </c>
      <c r="U4">
        <f t="shared" si="6"/>
        <v>1.0423093123537918E-7</v>
      </c>
      <c r="V4">
        <f t="shared" si="6"/>
        <v>1.2237329995883165E-8</v>
      </c>
      <c r="W4">
        <f t="shared" ref="W4:AE4" si="7">V4/SUM($M$3:$M$5)</f>
        <v>1.4367351769117778E-9</v>
      </c>
      <c r="X4">
        <f t="shared" si="7"/>
        <v>1.6868123759595847E-10</v>
      </c>
      <c r="Y4">
        <f t="shared" si="7"/>
        <v>1.9804178511215891E-11</v>
      </c>
      <c r="Z4">
        <f t="shared" si="7"/>
        <v>2.3251281060882039E-12</v>
      </c>
      <c r="AA4">
        <f t="shared" si="7"/>
        <v>2.7298384058998261E-13</v>
      </c>
      <c r="AB4">
        <f t="shared" si="7"/>
        <v>3.2049923196975931E-14</v>
      </c>
      <c r="AC4">
        <f t="shared" si="7"/>
        <v>3.7628512175374158E-15</v>
      </c>
      <c r="AD4">
        <f t="shared" si="7"/>
        <v>4.4178106756457966E-16</v>
      </c>
      <c r="AE4">
        <f t="shared" si="7"/>
        <v>5.1867719549705798E-17</v>
      </c>
    </row>
    <row r="5" spans="1:31" x14ac:dyDescent="0.25">
      <c r="A5" s="2" t="s">
        <v>22</v>
      </c>
      <c r="B5">
        <f>SUMPRODUCT('4. STATIS Intra-struktur'!$B$4:$E$7, '4. STATIS Intra-struktur'!$B$16:$E$19)</f>
        <v>71.307652680643329</v>
      </c>
      <c r="C5">
        <f>SQRT(SUMSQ('4. STATIS Intra-struktur'!$B$4:$E$7))</f>
        <v>8.7609117057049328</v>
      </c>
      <c r="D5">
        <f>SQRT(SUMSQ('4. STATIS Intra-struktur'!$B$16:$E$19))</f>
        <v>9.3390565940061521</v>
      </c>
      <c r="E5">
        <f t="shared" si="4"/>
        <v>81.818650234669335</v>
      </c>
      <c r="F5" s="2">
        <f>B5/E5</f>
        <v>0.87153298760271969</v>
      </c>
      <c r="H5" s="2">
        <f>F9</f>
        <v>0.87153298760271969</v>
      </c>
      <c r="I5" s="2">
        <f>F10</f>
        <v>0.99314315465693881</v>
      </c>
      <c r="J5" s="2">
        <f>F11</f>
        <v>1</v>
      </c>
      <c r="L5">
        <v>1</v>
      </c>
      <c r="M5">
        <v>2.8646761422596585</v>
      </c>
      <c r="N5">
        <f t="shared" si="6"/>
        <v>0.33632998255575314</v>
      </c>
      <c r="O5">
        <f t="shared" si="6"/>
        <v>3.9487136258525117E-2</v>
      </c>
      <c r="P5">
        <f t="shared" si="6"/>
        <v>4.6360241749807598E-3</v>
      </c>
      <c r="Q5">
        <f t="shared" si="6"/>
        <v>5.4429675553809866E-4</v>
      </c>
      <c r="R5">
        <f t="shared" si="6"/>
        <v>6.3903669805718866E-5</v>
      </c>
      <c r="S5">
        <f t="shared" si="6"/>
        <v>7.5026701391985491E-6</v>
      </c>
      <c r="T5">
        <f t="shared" si="6"/>
        <v>8.808580068837309E-7</v>
      </c>
      <c r="U5">
        <f t="shared" si="6"/>
        <v>1.0341795839288535E-7</v>
      </c>
      <c r="V5">
        <f t="shared" si="6"/>
        <v>1.2141882158726057E-8</v>
      </c>
      <c r="W5">
        <f t="shared" ref="W5:AE5" si="8">V5/SUM($M$3:$M$5)</f>
        <v>1.4255290342932574E-9</v>
      </c>
      <c r="X5">
        <f t="shared" si="8"/>
        <v>1.6736556993782267E-10</v>
      </c>
      <c r="Y5">
        <f t="shared" si="8"/>
        <v>1.964971131892764E-11</v>
      </c>
      <c r="Z5">
        <f t="shared" si="8"/>
        <v>2.3069927408644186E-12</v>
      </c>
      <c r="AA5">
        <f t="shared" si="8"/>
        <v>2.7085464106917863E-13</v>
      </c>
      <c r="AB5">
        <f t="shared" si="8"/>
        <v>3.179994253524401E-14</v>
      </c>
      <c r="AC5">
        <f t="shared" si="8"/>
        <v>3.7335020040751032E-15</v>
      </c>
      <c r="AD5">
        <f t="shared" si="8"/>
        <v>4.3833529570011385E-16</v>
      </c>
      <c r="AE5">
        <f t="shared" si="8"/>
        <v>5.1463165480235056E-17</v>
      </c>
    </row>
    <row r="6" spans="1:31" x14ac:dyDescent="0.25">
      <c r="A6" s="2" t="s">
        <v>28</v>
      </c>
      <c r="B6">
        <f>SUMPRODUCT('4. STATIS Intra-struktur'!$B$10:$E$13, '4. STATIS Intra-struktur'!$B$4:$E$7)</f>
        <v>70.39602660001907</v>
      </c>
      <c r="C6">
        <f>SQRT(SUMSQ('4. STATIS Intra-struktur'!$B$10:$E$13))</f>
        <v>8.98743797753683</v>
      </c>
      <c r="D6">
        <f>SQRT(SUMSQ('4. STATIS Intra-struktur'!$B$4:$E$7))</f>
        <v>8.7609117057049328</v>
      </c>
      <c r="E6">
        <f t="shared" si="4"/>
        <v>78.738150581699486</v>
      </c>
      <c r="F6" s="2">
        <f t="shared" si="5"/>
        <v>0.89405232507938392</v>
      </c>
      <c r="M6">
        <v>2.8800489837719634</v>
      </c>
      <c r="N6">
        <f t="shared" ref="N6:Z6" si="9">M6/SQRT(SUMSQ($M$6:$M$8))</f>
        <v>0.56987251855753074</v>
      </c>
      <c r="O6">
        <f t="shared" si="9"/>
        <v>0.11276012638568951</v>
      </c>
      <c r="P6">
        <f t="shared" si="9"/>
        <v>2.2311737605281736E-2</v>
      </c>
      <c r="Q6">
        <f t="shared" si="9"/>
        <v>4.4148020308544204E-3</v>
      </c>
      <c r="R6">
        <f t="shared" si="9"/>
        <v>8.7355262581711426E-4</v>
      </c>
      <c r="S6">
        <f t="shared" si="9"/>
        <v>1.7284901672573742E-4</v>
      </c>
      <c r="T6">
        <f t="shared" si="9"/>
        <v>3.4201468463457194E-5</v>
      </c>
      <c r="U6">
        <f t="shared" si="9"/>
        <v>6.7674116244057369E-6</v>
      </c>
      <c r="V6">
        <f t="shared" si="9"/>
        <v>1.339061220224358E-6</v>
      </c>
      <c r="W6">
        <f t="shared" si="9"/>
        <v>2.6495875395583051E-7</v>
      </c>
      <c r="X6">
        <f t="shared" si="9"/>
        <v>5.2427133455529293E-8</v>
      </c>
      <c r="Y6">
        <f t="shared" si="9"/>
        <v>1.0373706402703269E-8</v>
      </c>
      <c r="Z6">
        <f t="shared" si="9"/>
        <v>2.0526352946755887E-9</v>
      </c>
    </row>
    <row r="7" spans="1:31" x14ac:dyDescent="0.25">
      <c r="A7" s="2" t="s">
        <v>29</v>
      </c>
      <c r="B7">
        <f>SUMPRODUCT('4. STATIS Intra-struktur'!$B$10:$E$13, '4. STATIS Intra-struktur'!$B$10:$E$13)</f>
        <v>80.774041400071312</v>
      </c>
      <c r="C7">
        <f>SQRT(SUMSQ('4. STATIS Intra-struktur'!$B$10:$E$13))</f>
        <v>8.98743797753683</v>
      </c>
      <c r="D7">
        <f>SQRT(SUMSQ('4. STATIS Intra-struktur'!$B$10:$E$13))</f>
        <v>8.98743797753683</v>
      </c>
      <c r="E7">
        <f t="shared" si="4"/>
        <v>80.774041400071312</v>
      </c>
      <c r="F7" s="2">
        <f t="shared" si="5"/>
        <v>1</v>
      </c>
      <c r="M7">
        <v>2.9420538628366995</v>
      </c>
      <c r="N7">
        <f t="shared" ref="N7:O8" si="10">M7/SQRT(SUMSQ($M$6:$M$8))</f>
        <v>0.58214136425931418</v>
      </c>
      <c r="O7">
        <f t="shared" si="10"/>
        <v>0.11518775106820868</v>
      </c>
      <c r="P7">
        <f t="shared" ref="P7:T7" si="11">O7/SQRT(SUMSQ($M$6:$M$8))</f>
        <v>2.2792089363093768E-2</v>
      </c>
      <c r="Q7">
        <f t="shared" si="11"/>
        <v>4.5098487705315235E-3</v>
      </c>
      <c r="R7">
        <f t="shared" si="11"/>
        <v>8.9235943265466124E-4</v>
      </c>
      <c r="S7">
        <f t="shared" si="11"/>
        <v>1.7657030148128395E-4</v>
      </c>
      <c r="T7">
        <f t="shared" si="11"/>
        <v>3.4937795493956393E-5</v>
      </c>
      <c r="U7">
        <f t="shared" ref="U7:Z7" si="12">T7/SQRT(SUMSQ($M$6:$M$8))</f>
        <v>6.9131079447519983E-6</v>
      </c>
      <c r="V7">
        <f t="shared" si="12"/>
        <v>1.3678900108067835E-6</v>
      </c>
      <c r="W7">
        <f t="shared" si="12"/>
        <v>2.7066307898250344E-7</v>
      </c>
      <c r="X7">
        <f t="shared" si="12"/>
        <v>5.3555842754550802E-8</v>
      </c>
      <c r="Y7">
        <f t="shared" si="12"/>
        <v>1.0597043024606927E-8</v>
      </c>
      <c r="Z7">
        <f t="shared" si="12"/>
        <v>2.0968266969494765E-9</v>
      </c>
    </row>
    <row r="8" spans="1:31" x14ac:dyDescent="0.25">
      <c r="A8" s="2" t="s">
        <v>30</v>
      </c>
      <c r="B8">
        <f>SUMPRODUCT('4. STATIS Intra-struktur'!$B$10:$E$13, '4. STATIS Intra-struktur'!$B$16:$E$19)</f>
        <v>83.358668134433231</v>
      </c>
      <c r="C8">
        <f>SQRT(SUMSQ('4. STATIS Intra-struktur'!$B$10:$E$13))</f>
        <v>8.98743797753683</v>
      </c>
      <c r="D8">
        <f>SQRT(SUMSQ('4. STATIS Intra-struktur'!$B$16:$E$19))</f>
        <v>9.3390565940061521</v>
      </c>
      <c r="E8">
        <f t="shared" si="4"/>
        <v>83.934191907336654</v>
      </c>
      <c r="F8" s="2">
        <f t="shared" si="5"/>
        <v>0.99314315465693881</v>
      </c>
      <c r="M8">
        <v>2.9310432741118664</v>
      </c>
      <c r="N8">
        <f t="shared" si="10"/>
        <v>0.57996270967295915</v>
      </c>
      <c r="O8">
        <f t="shared" si="10"/>
        <v>0.11475666278353409</v>
      </c>
      <c r="P8">
        <f t="shared" ref="P8:T8" si="13">O8/SQRT(SUMSQ($M$6:$M$8))</f>
        <v>2.2706790339399246E-2</v>
      </c>
      <c r="Q8">
        <f t="shared" si="13"/>
        <v>4.4929707348671331E-3</v>
      </c>
      <c r="R8">
        <f t="shared" si="13"/>
        <v>8.8901979199348989E-4</v>
      </c>
      <c r="S8">
        <f t="shared" si="13"/>
        <v>1.7590949000016593E-4</v>
      </c>
      <c r="T8">
        <f t="shared" si="13"/>
        <v>3.4807041362634896E-5</v>
      </c>
      <c r="U8">
        <f t="shared" ref="U8:Z8" si="14">T8/SQRT(SUMSQ($M$6:$M$8))</f>
        <v>6.8872357507206338E-6</v>
      </c>
      <c r="V8">
        <f t="shared" si="14"/>
        <v>1.3627707046920822E-6</v>
      </c>
      <c r="W8">
        <f t="shared" si="14"/>
        <v>2.6965012681214452E-7</v>
      </c>
      <c r="X8">
        <f t="shared" si="14"/>
        <v>5.3355410884206453E-8</v>
      </c>
      <c r="Y8">
        <f t="shared" si="14"/>
        <v>1.0557383763463827E-8</v>
      </c>
      <c r="Z8">
        <f t="shared" si="14"/>
        <v>2.0889793571441139E-9</v>
      </c>
    </row>
    <row r="9" spans="1:31" x14ac:dyDescent="0.25">
      <c r="A9" s="2" t="s">
        <v>31</v>
      </c>
      <c r="B9">
        <f>SUMPRODUCT('4. STATIS Intra-struktur'!$B$16:$E$19, '4. STATIS Intra-struktur'!$B$4:$E$7)</f>
        <v>71.307652680643329</v>
      </c>
      <c r="C9">
        <f>SQRT(SUMSQ('4. STATIS Intra-struktur'!$B$16:$E$19))</f>
        <v>9.3390565940061521</v>
      </c>
      <c r="D9">
        <f>SQRT(SUMSQ('4. STATIS Intra-struktur'!$B$4:$E$7))</f>
        <v>8.7609117057049328</v>
      </c>
      <c r="E9">
        <f t="shared" si="4"/>
        <v>81.818650234669335</v>
      </c>
      <c r="F9" s="2">
        <f t="shared" si="5"/>
        <v>0.87153298760271969</v>
      </c>
      <c r="L9" t="s">
        <v>46</v>
      </c>
      <c r="M9" cm="1">
        <f t="array" ref="M9:M11">MMULT($H$3:$J$5, Z3:Z5)</f>
        <v>6.3165989727292577E-12</v>
      </c>
      <c r="N9">
        <f>M9/Z3</f>
        <v>2.8361261773805344</v>
      </c>
      <c r="O9">
        <f>SQRT($N9) * Z3</f>
        <v>3.7507708414754763E-12</v>
      </c>
      <c r="P9">
        <f>O9/SUM(O$9:O$11)</f>
        <v>0.32446692504963642</v>
      </c>
      <c r="Q9" t="s">
        <v>49</v>
      </c>
      <c r="R9" cm="1">
        <f t="array" ref="R9:R11">MMULT($H$3:$J$5, Z6:Z8)</f>
        <v>5.7479224985440113E-9</v>
      </c>
      <c r="S9">
        <f>R9/Z6</f>
        <v>2.8002648660742477</v>
      </c>
      <c r="T9">
        <f>SQRT($S9) * Z6</f>
        <v>3.4348782498905742E-9</v>
      </c>
      <c r="U9">
        <f>T9/SUM(T$9:T$11)</f>
        <v>0.32674487874086761</v>
      </c>
    </row>
    <row r="10" spans="1:31" x14ac:dyDescent="0.25">
      <c r="A10" s="2" t="s">
        <v>32</v>
      </c>
      <c r="B10">
        <f>SUMPRODUCT('4. STATIS Intra-struktur'!$B$16:$E$19, '4. STATIS Intra-struktur'!$B$10:$E$13)</f>
        <v>83.358668134433231</v>
      </c>
      <c r="C10">
        <f>SQRT(SUMSQ('4. STATIS Intra-struktur'!$B$16:$E$19))</f>
        <v>9.3390565940061521</v>
      </c>
      <c r="D10">
        <f>SQRT(SUMSQ('4. STATIS Intra-struktur'!$B$10:$E$13))</f>
        <v>8.98743797753683</v>
      </c>
      <c r="E10">
        <f t="shared" si="4"/>
        <v>83.934191907336654</v>
      </c>
      <c r="F10" s="2">
        <f t="shared" si="5"/>
        <v>0.99314315465693881</v>
      </c>
      <c r="L10" t="s">
        <v>47</v>
      </c>
      <c r="M10">
        <v>6.6075287942956982E-12</v>
      </c>
      <c r="N10">
        <f t="shared" ref="N10:N11" si="15">M10/Z4</f>
        <v>2.8417912875399396</v>
      </c>
      <c r="O10">
        <f t="shared" ref="O10:O11" si="16">SQRT($N10) * Z4</f>
        <v>3.9196110663437046E-12</v>
      </c>
      <c r="P10">
        <f t="shared" ref="P10:P11" si="17">O10/SUM(O$9:O$11)</f>
        <v>0.33907274100136026</v>
      </c>
      <c r="Q10" t="s">
        <v>50</v>
      </c>
      <c r="R10">
        <v>6.0066456034615225E-9</v>
      </c>
      <c r="S10">
        <f>R10/Z7</f>
        <v>2.8646361724601097</v>
      </c>
      <c r="T10">
        <f t="shared" ref="T10:T11" si="18">SQRT($S10) * Z7</f>
        <v>3.5489286919368105E-9</v>
      </c>
      <c r="U10">
        <f t="shared" ref="U10:U11" si="19">T10/SUM(T$9:T$11)</f>
        <v>0.3375939962773995</v>
      </c>
    </row>
    <row r="11" spans="1:31" x14ac:dyDescent="0.25">
      <c r="A11" s="2" t="s">
        <v>33</v>
      </c>
      <c r="B11">
        <f>SUMPRODUCT('4. STATIS Intra-struktur'!$B$16:$E$19, '4. STATIS Intra-struktur'!$B$16:$E$19)</f>
        <v>87.217978066049795</v>
      </c>
      <c r="C11">
        <f>SQRT(SUMSQ('4. STATIS Intra-struktur'!$B$16:$E$19))</f>
        <v>9.3390565940061521</v>
      </c>
      <c r="D11">
        <f>SQRT(SUMSQ('4. STATIS Intra-struktur'!$B$16:$E$19))</f>
        <v>9.3390565940061521</v>
      </c>
      <c r="E11">
        <f t="shared" si="4"/>
        <v>87.217978066049795</v>
      </c>
      <c r="F11" s="2">
        <f t="shared" si="5"/>
        <v>1</v>
      </c>
      <c r="L11" t="s">
        <v>48</v>
      </c>
      <c r="M11">
        <v>6.5572495431980953E-12</v>
      </c>
      <c r="N11">
        <f t="shared" si="15"/>
        <v>2.8423364439114476</v>
      </c>
      <c r="O11">
        <f t="shared" si="16"/>
        <v>3.8894121787481627E-12</v>
      </c>
      <c r="P11">
        <f t="shared" si="17"/>
        <v>0.33646033394900338</v>
      </c>
      <c r="Q11" t="s">
        <v>51</v>
      </c>
      <c r="R11">
        <v>5.9603678085488106E-9</v>
      </c>
      <c r="S11">
        <f>R11/Z8</f>
        <v>2.8532439960045131</v>
      </c>
      <c r="T11">
        <f t="shared" si="18"/>
        <v>3.5286095438635264E-9</v>
      </c>
      <c r="U11">
        <f t="shared" si="19"/>
        <v>0.33566112498173295</v>
      </c>
    </row>
    <row r="12" spans="1:31" x14ac:dyDescent="0.25">
      <c r="L12" t="s">
        <v>52</v>
      </c>
      <c r="M12" cm="1">
        <f t="array" ref="M12:M14">MMULT($H$3:$J$5, P3:P5)</f>
        <v>1.2693540392441345E-2</v>
      </c>
      <c r="N12">
        <f>M12/P3</f>
        <v>2.836126177380534</v>
      </c>
      <c r="O12">
        <f>SQRT($N12) * P3</f>
        <v>7.5373727831400924E-3</v>
      </c>
      <c r="P12">
        <f>O12/SUM(O$12:O$14)</f>
        <v>0.32446692504963648</v>
      </c>
      <c r="Q12" t="s">
        <v>58</v>
      </c>
      <c r="R12" cm="1">
        <f t="array" ref="R12:R14">MMULT($H$3:$J$5, P6:P8)</f>
        <v>6.2478774917138005E-2</v>
      </c>
      <c r="S12">
        <f>R12/P6</f>
        <v>2.8002648660742473</v>
      </c>
      <c r="T12">
        <f>SQRT($S12) * P6</f>
        <v>3.7336443749380326E-2</v>
      </c>
      <c r="U12">
        <f>T12/SUM(T$12:T$14)</f>
        <v>0.32674487874086755</v>
      </c>
    </row>
    <row r="13" spans="1:31" x14ac:dyDescent="0.25">
      <c r="A13" s="1" t="s">
        <v>34</v>
      </c>
      <c r="L13" t="s">
        <v>53</v>
      </c>
      <c r="M13">
        <v>1.3278179287100147E-2</v>
      </c>
      <c r="N13">
        <f t="shared" ref="N13:N14" si="20">M13/P4</f>
        <v>2.84179128753994</v>
      </c>
      <c r="O13">
        <f t="shared" ref="O13:O14" si="21">SQRT($N13) * P4</f>
        <v>7.8766661629298337E-3</v>
      </c>
      <c r="P13">
        <f t="shared" ref="P13:P14" si="22">O13/SUM(O$12:O$14)</f>
        <v>0.3390727410013602</v>
      </c>
      <c r="Q13" t="s">
        <v>59</v>
      </c>
      <c r="R13">
        <v>6.5291043635461704E-2</v>
      </c>
      <c r="S13">
        <f>R13/P7</f>
        <v>2.8646361724601093</v>
      </c>
      <c r="T13">
        <f t="shared" ref="T13:T14" si="23">SQRT($S13) * P7</f>
        <v>3.8576149382087088E-2</v>
      </c>
      <c r="U13">
        <f t="shared" ref="U13:U14" si="24">T13/SUM(T$12:T$14)</f>
        <v>0.3375939962773995</v>
      </c>
    </row>
    <row r="14" spans="1:31" x14ac:dyDescent="0.25">
      <c r="A14" s="1" t="s">
        <v>36</v>
      </c>
      <c r="L14" t="s">
        <v>54</v>
      </c>
      <c r="M14">
        <v>1.3177140467402312E-2</v>
      </c>
      <c r="N14">
        <f t="shared" si="20"/>
        <v>2.8423364439114467</v>
      </c>
      <c r="O14">
        <f t="shared" si="21"/>
        <v>7.8159798978755298E-3</v>
      </c>
      <c r="P14">
        <f t="shared" si="22"/>
        <v>0.33646033394900343</v>
      </c>
      <c r="Q14" t="s">
        <v>60</v>
      </c>
      <c r="R14">
        <v>6.4788013204424191E-2</v>
      </c>
      <c r="S14">
        <f>R14/P8</f>
        <v>2.8532439960045135</v>
      </c>
      <c r="T14">
        <f t="shared" si="23"/>
        <v>3.8355284281818197E-2</v>
      </c>
      <c r="U14">
        <f t="shared" si="24"/>
        <v>0.33566112498173289</v>
      </c>
    </row>
    <row r="15" spans="1:31" x14ac:dyDescent="0.25">
      <c r="A15" s="2" t="s">
        <v>37</v>
      </c>
      <c r="B15">
        <f>SUMPRODUCT('4. STATIS Intra-struktur'!$B$23:$D$25, '4. STATIS Intra-struktur'!$B$23:$D$25)</f>
        <v>76.753573915157716</v>
      </c>
      <c r="C15">
        <f>SQRT(SUMSQ('4. STATIS Intra-struktur'!$B$23:$D$25))</f>
        <v>8.7609117057049328</v>
      </c>
      <c r="D15">
        <f>SQRT(SUMSQ('4. STATIS Intra-struktur'!$B$23:$D$25))</f>
        <v>8.7609117057049328</v>
      </c>
      <c r="E15">
        <f>C15*D15</f>
        <v>76.753573915157716</v>
      </c>
      <c r="F15" s="2">
        <f>B15/E15</f>
        <v>1</v>
      </c>
      <c r="H15" s="2">
        <f>F15</f>
        <v>1</v>
      </c>
      <c r="I15" s="2">
        <f>F16</f>
        <v>0.81405966825420295</v>
      </c>
      <c r="J15" s="2">
        <f>F17</f>
        <v>0.74980758345522658</v>
      </c>
      <c r="L15" t="s">
        <v>55</v>
      </c>
      <c r="M15" cm="1">
        <f t="array" ref="M15:M17">MMULT($H$3:$J$5, M3:M5)</f>
        <v>7.8435489010768435</v>
      </c>
      <c r="N15">
        <f>M15/M3</f>
        <v>2.836126177380534</v>
      </c>
      <c r="O15">
        <f>SQRT($N15) * M3</f>
        <v>4.6574675135873971</v>
      </c>
      <c r="P15">
        <f>O15/SUM(O$15:O$17)</f>
        <v>0.32446692504963642</v>
      </c>
      <c r="Q15" t="s">
        <v>55</v>
      </c>
      <c r="R15" cm="1">
        <f t="array" ref="R15:R17">MMULT($H$3:$J$5, M6:M8)</f>
        <v>8.0648999818294698</v>
      </c>
      <c r="S15">
        <f>R15/M6</f>
        <v>2.8002648660742477</v>
      </c>
      <c r="T15">
        <f>SQRT($S15) * M6</f>
        <v>4.8194716512176408</v>
      </c>
      <c r="U15">
        <f>T15/SUM(T$15:T$17)</f>
        <v>0.32674487874086761</v>
      </c>
    </row>
    <row r="16" spans="1:31" x14ac:dyDescent="0.25">
      <c r="A16" s="2" t="s">
        <v>38</v>
      </c>
      <c r="B16">
        <f>SUMPRODUCT('4. STATIS Intra-struktur'!$B$23:$D$25, '4. STATIS Intra-struktur'!$B$28:$D$30)</f>
        <v>64.09755274148776</v>
      </c>
      <c r="C16">
        <f>SQRT(SUMSQ('4. STATIS Intra-struktur'!$B$23:$D$25))</f>
        <v>8.7609117057049328</v>
      </c>
      <c r="D16">
        <f>SQRT(SUMSQ('4. STATIS Intra-struktur'!$B$28:$D$30))</f>
        <v>8.98743797753683</v>
      </c>
      <c r="E16">
        <f t="shared" ref="E16:E23" si="25">C16*D16</f>
        <v>78.738150581699486</v>
      </c>
      <c r="F16" s="2">
        <f t="shared" ref="F16" si="26">B16/E16</f>
        <v>0.81405966825420295</v>
      </c>
      <c r="H16" s="2">
        <f>F18</f>
        <v>0.81405966825420295</v>
      </c>
      <c r="I16" s="2">
        <f>F19</f>
        <v>0.99999999999999978</v>
      </c>
      <c r="J16" s="2">
        <f>F20</f>
        <v>0.99442233622762288</v>
      </c>
      <c r="L16" t="s">
        <v>56</v>
      </c>
      <c r="M16">
        <v>8.2048069597393791</v>
      </c>
      <c r="N16">
        <f t="shared" ref="N16:N17" si="27">M16/M4</f>
        <v>2.84179128753994</v>
      </c>
      <c r="O16">
        <f t="shared" ref="O16:O17" si="28">SQRT($N16) * M4</f>
        <v>4.8671225139982512</v>
      </c>
      <c r="P16">
        <f t="shared" ref="P16:P17" si="29">O16/SUM(O$15:O$17)</f>
        <v>0.3390727410013602</v>
      </c>
      <c r="Q16" t="s">
        <v>56</v>
      </c>
      <c r="R16">
        <v>8.4279139168080022</v>
      </c>
      <c r="S16">
        <f t="shared" ref="S16:S17" si="30">R16/M7</f>
        <v>2.8646361724601093</v>
      </c>
      <c r="T16">
        <f t="shared" ref="T16:T17" si="31">SQRT($S16) * M7</f>
        <v>4.9794956265268633</v>
      </c>
      <c r="U16">
        <f t="shared" ref="U16:U17" si="32">T16/SUM(T$15:T$17)</f>
        <v>0.3375939962773995</v>
      </c>
    </row>
    <row r="17" spans="1:21" x14ac:dyDescent="0.25">
      <c r="A17" s="2" t="s">
        <v>39</v>
      </c>
      <c r="B17">
        <f>SUMPRODUCT('4. STATIS Intra-struktur'!$B$23:$D$25, '4. STATIS Intra-struktur'!$B$33:$D$35)</f>
        <v>61.348244414025814</v>
      </c>
      <c r="C17">
        <f>SQRT(SUMSQ('4. STATIS Intra-struktur'!$B$23:$D$25))</f>
        <v>8.7609117057049328</v>
      </c>
      <c r="D17">
        <f>SQRT(SUMSQ('4. STATIS Intra-struktur'!$B$33:$D$35))</f>
        <v>9.3390565940061503</v>
      </c>
      <c r="E17">
        <f t="shared" si="25"/>
        <v>81.81865023466932</v>
      </c>
      <c r="F17" s="2">
        <f>B17/E17</f>
        <v>0.74980758345522658</v>
      </c>
      <c r="H17" s="2">
        <f>F21</f>
        <v>0.74980758345522658</v>
      </c>
      <c r="I17" s="2">
        <f>F22</f>
        <v>0.99442233622762288</v>
      </c>
      <c r="J17" s="2">
        <f>F23</f>
        <v>1</v>
      </c>
      <c r="L17" t="s">
        <v>57</v>
      </c>
      <c r="M17">
        <v>8.1423733991482798</v>
      </c>
      <c r="N17">
        <f t="shared" si="27"/>
        <v>2.8423364439114467</v>
      </c>
      <c r="O17">
        <f t="shared" si="28"/>
        <v>4.8296234654380408</v>
      </c>
      <c r="P17">
        <f t="shared" si="29"/>
        <v>0.33646033394900338</v>
      </c>
      <c r="Q17" t="s">
        <v>57</v>
      </c>
      <c r="R17">
        <v>8.3629816238890946</v>
      </c>
      <c r="S17">
        <f t="shared" si="30"/>
        <v>2.8532439960045135</v>
      </c>
      <c r="T17">
        <f t="shared" si="31"/>
        <v>4.9509858654838901</v>
      </c>
      <c r="U17">
        <f t="shared" si="32"/>
        <v>0.33566112498173289</v>
      </c>
    </row>
    <row r="18" spans="1:21" x14ac:dyDescent="0.25">
      <c r="A18" s="2" t="s">
        <v>40</v>
      </c>
      <c r="B18">
        <f>SUMPRODUCT('4. STATIS Intra-struktur'!$B$28:$D$30, '4. STATIS Intra-struktur'!$B$23:$D$25)</f>
        <v>64.09755274148776</v>
      </c>
      <c r="C18">
        <f>SQRT(SUMSQ('4. STATIS Intra-struktur'!$B$28:$D$30))</f>
        <v>8.98743797753683</v>
      </c>
      <c r="D18">
        <f>SQRT(SUMSQ('4. STATIS Intra-struktur'!$B$23:$D$25))</f>
        <v>8.7609117057049328</v>
      </c>
      <c r="E18">
        <f t="shared" si="25"/>
        <v>78.738150581699486</v>
      </c>
      <c r="F18" s="2">
        <f t="shared" ref="F18:F23" si="33">B18/E18</f>
        <v>0.81405966825420295</v>
      </c>
    </row>
    <row r="19" spans="1:21" x14ac:dyDescent="0.25">
      <c r="A19" s="2" t="s">
        <v>41</v>
      </c>
      <c r="B19">
        <f>SUMPRODUCT('4. STATIS Intra-struktur'!$B$28:$D$30, '4. STATIS Intra-struktur'!$B$28:$D$30)</f>
        <v>80.774041400071297</v>
      </c>
      <c r="C19">
        <f>SQRT(SUMSQ('4. STATIS Intra-struktur'!$B$28:$D$30))</f>
        <v>8.98743797753683</v>
      </c>
      <c r="D19">
        <f>SQRT(SUMSQ('4. STATIS Intra-struktur'!$B$28:$D$30))</f>
        <v>8.98743797753683</v>
      </c>
      <c r="E19">
        <f t="shared" si="25"/>
        <v>80.774041400071312</v>
      </c>
      <c r="F19" s="2">
        <f t="shared" si="33"/>
        <v>0.99999999999999978</v>
      </c>
    </row>
    <row r="20" spans="1:21" x14ac:dyDescent="0.25">
      <c r="A20" s="2" t="s">
        <v>42</v>
      </c>
      <c r="B20">
        <f>SUMPRODUCT('4. STATIS Intra-struktur'!$B$28:$D$30, '4. STATIS Intra-struktur'!$B$33:$D$35)</f>
        <v>83.466035205871322</v>
      </c>
      <c r="C20">
        <f>SQRT(SUMSQ('4. STATIS Intra-struktur'!$B$28:$D$30))</f>
        <v>8.98743797753683</v>
      </c>
      <c r="D20">
        <f>SQRT(SUMSQ('4. STATIS Intra-struktur'!$B$33:$D$35))</f>
        <v>9.3390565940061503</v>
      </c>
      <c r="E20">
        <f t="shared" si="25"/>
        <v>83.934191907336626</v>
      </c>
      <c r="F20" s="2">
        <f t="shared" si="33"/>
        <v>0.99442233622762288</v>
      </c>
    </row>
    <row r="21" spans="1:21" x14ac:dyDescent="0.25">
      <c r="A21" s="2" t="s">
        <v>43</v>
      </c>
      <c r="B21">
        <f>SUMPRODUCT('4. STATIS Intra-struktur'!$B$33:$D$35, '4. STATIS Intra-struktur'!$B$23:$D$25)</f>
        <v>61.348244414025814</v>
      </c>
      <c r="C21">
        <f>SQRT(SUMSQ('4. STATIS Intra-struktur'!$B$33:$D$35))</f>
        <v>9.3390565940061503</v>
      </c>
      <c r="D21">
        <f>SQRT(SUMSQ('4. STATIS Intra-struktur'!$B$23:$D$25))</f>
        <v>8.7609117057049328</v>
      </c>
      <c r="E21">
        <f t="shared" si="25"/>
        <v>81.81865023466932</v>
      </c>
      <c r="F21" s="2">
        <f t="shared" si="33"/>
        <v>0.74980758345522658</v>
      </c>
    </row>
    <row r="22" spans="1:21" x14ac:dyDescent="0.25">
      <c r="A22" s="2" t="s">
        <v>44</v>
      </c>
      <c r="B22">
        <f>SUMPRODUCT('4. STATIS Intra-struktur'!$B$33:$D$35, '4. STATIS Intra-struktur'!$B$28:$D$30)</f>
        <v>83.466035205871322</v>
      </c>
      <c r="C22">
        <f>SQRT(SUMSQ('4. STATIS Intra-struktur'!$B$33:$D$35))</f>
        <v>9.3390565940061503</v>
      </c>
      <c r="D22">
        <f>SQRT(SUMSQ('4. STATIS Intra-struktur'!$B$28:$D$30))</f>
        <v>8.98743797753683</v>
      </c>
      <c r="E22">
        <f t="shared" si="25"/>
        <v>83.934191907336626</v>
      </c>
      <c r="F22" s="2">
        <f t="shared" si="33"/>
        <v>0.99442233622762288</v>
      </c>
    </row>
    <row r="23" spans="1:21" x14ac:dyDescent="0.25">
      <c r="A23" s="2" t="s">
        <v>45</v>
      </c>
      <c r="B23">
        <f>SUMPRODUCT('4. STATIS Intra-struktur'!$B$33:$D$35, '4. STATIS Intra-struktur'!$B$33:$D$35)</f>
        <v>87.217978066049753</v>
      </c>
      <c r="C23">
        <f>SQRT(SUMSQ('4. STATIS Intra-struktur'!$B$33:$D$35))</f>
        <v>9.3390565940061503</v>
      </c>
      <c r="D23">
        <f>SQRT(SUMSQ('4. STATIS Intra-struktur'!$B$33:$D$35))</f>
        <v>9.3390565940061503</v>
      </c>
      <c r="E23">
        <f t="shared" si="25"/>
        <v>87.217978066049753</v>
      </c>
      <c r="F23" s="2">
        <f t="shared" si="33"/>
        <v>1</v>
      </c>
    </row>
    <row r="25" spans="1:21" x14ac:dyDescent="0.25">
      <c r="A25" s="1" t="s">
        <v>20</v>
      </c>
    </row>
    <row r="26" spans="1:21" x14ac:dyDescent="0.25">
      <c r="A26" s="1" t="s">
        <v>35</v>
      </c>
    </row>
    <row r="27" spans="1:21" x14ac:dyDescent="0.25">
      <c r="A27" s="2" t="s">
        <v>21</v>
      </c>
      <c r="B27">
        <f>SUMPRODUCT('4. STATIS Intra-struktur'!$B$40:$E$43, '4. STATIS Intra-struktur'!$B$40:$E$43)</f>
        <v>128.0577808279188</v>
      </c>
      <c r="C27">
        <f>SQRT(SUMSQ('4. STATIS Intra-struktur'!$B$40:$E$43))</f>
        <v>11.316261786823368</v>
      </c>
      <c r="D27">
        <f>SQRT(SUMSQ('4. STATIS Intra-struktur'!$B$40:$E$43))</f>
        <v>11.316261786823368</v>
      </c>
      <c r="E27">
        <f>C27*D27</f>
        <v>128.0577808279188</v>
      </c>
      <c r="F27" s="2">
        <f>B27/E27</f>
        <v>1</v>
      </c>
      <c r="H27" s="2">
        <f>F27</f>
        <v>1</v>
      </c>
      <c r="I27" s="2">
        <f>F28</f>
        <v>0.89853521856455254</v>
      </c>
      <c r="J27" s="2">
        <f>F29</f>
        <v>0.88524677360514281</v>
      </c>
      <c r="L27">
        <v>1</v>
      </c>
    </row>
    <row r="28" spans="1:21" x14ac:dyDescent="0.25">
      <c r="A28" s="2" t="s">
        <v>19</v>
      </c>
      <c r="B28">
        <f>SUMPRODUCT('4. STATIS Intra-struktur'!$B$40:$E$43, '4. STATIS Intra-struktur'!$B$46:$E$49)</f>
        <v>99.391202772007063</v>
      </c>
      <c r="C28">
        <f>SQRT(SUMSQ('4. STATIS Intra-struktur'!$B$40:$E$43))</f>
        <v>11.316261786823368</v>
      </c>
      <c r="D28">
        <f>SQRT(SUMSQ('4. STATIS Intra-struktur'!$B$46:$E$49))</f>
        <v>9.7748444775049972</v>
      </c>
      <c r="E28">
        <f>C28*D28</f>
        <v>110.61469903293123</v>
      </c>
      <c r="F28" s="2">
        <f t="shared" ref="F28" si="34">B28/E28</f>
        <v>0.89853521856455254</v>
      </c>
      <c r="H28" s="2">
        <f>F30</f>
        <v>0.89853521856455254</v>
      </c>
      <c r="I28" s="2">
        <f>F31</f>
        <v>1</v>
      </c>
      <c r="J28" s="2">
        <f>F32</f>
        <v>0.99412581136965816</v>
      </c>
      <c r="L28">
        <v>1</v>
      </c>
    </row>
    <row r="29" spans="1:21" x14ac:dyDescent="0.25">
      <c r="A29" s="2" t="s">
        <v>22</v>
      </c>
      <c r="B29">
        <f>SUMPRODUCT('4. STATIS Intra-struktur'!$B$40:$E$43, '4. STATIS Intra-struktur'!$B$52:$E$55)</f>
        <v>107.52627206827904</v>
      </c>
      <c r="C29">
        <f>SQRT(SUMSQ('4. STATIS Intra-struktur'!$B$40:$E$43))</f>
        <v>11.316261786823368</v>
      </c>
      <c r="D29">
        <f>SQRT(SUMSQ('4. STATIS Intra-struktur'!$B$52:$E$55))</f>
        <v>10.733645574619008</v>
      </c>
      <c r="E29">
        <f t="shared" ref="E29:E35" si="35">C29*D29</f>
        <v>121.46474324936683</v>
      </c>
      <c r="F29" s="2">
        <f>B29/E29</f>
        <v>0.88524677360514281</v>
      </c>
      <c r="H29" s="2">
        <f>F33</f>
        <v>0.88524677360514281</v>
      </c>
      <c r="I29" s="2">
        <f>F34</f>
        <v>0.99412581136965816</v>
      </c>
      <c r="J29" s="2">
        <f>F35</f>
        <v>1.0000000000000002</v>
      </c>
      <c r="L29">
        <v>1</v>
      </c>
    </row>
    <row r="30" spans="1:21" x14ac:dyDescent="0.25">
      <c r="A30" s="2" t="s">
        <v>28</v>
      </c>
      <c r="B30">
        <f>SUMPRODUCT('4. STATIS Intra-struktur'!$B$46:$E$49, '4. STATIS Intra-struktur'!$B$40:$E$43)</f>
        <v>99.391202772007063</v>
      </c>
      <c r="C30">
        <f>SQRT(SUMSQ('4. STATIS Intra-struktur'!$B$46:$E$49))</f>
        <v>9.7748444775049972</v>
      </c>
      <c r="D30">
        <f>SQRT(SUMSQ('4. STATIS Intra-struktur'!$B$40:$E$43))</f>
        <v>11.316261786823368</v>
      </c>
      <c r="E30">
        <f t="shared" si="35"/>
        <v>110.61469903293123</v>
      </c>
      <c r="F30" s="2">
        <f t="shared" ref="F30:F35" si="36">B30/E30</f>
        <v>0.89853521856455254</v>
      </c>
    </row>
    <row r="31" spans="1:21" x14ac:dyDescent="0.25">
      <c r="A31" s="2" t="s">
        <v>29</v>
      </c>
      <c r="B31">
        <f>SUMPRODUCT('4. STATIS Intra-struktur'!$B$46:$E$49, '4. STATIS Intra-struktur'!$B$46:$E$49)</f>
        <v>95.547584559409941</v>
      </c>
      <c r="C31">
        <f>SQRT(SUMSQ('4. STATIS Intra-struktur'!$B$46:$E$49))</f>
        <v>9.7748444775049972</v>
      </c>
      <c r="D31">
        <f>SQRT(SUMSQ('4. STATIS Intra-struktur'!$B$46:$E$49))</f>
        <v>9.7748444775049972</v>
      </c>
      <c r="E31">
        <f t="shared" si="35"/>
        <v>95.547584559409941</v>
      </c>
      <c r="F31" s="2">
        <f t="shared" si="36"/>
        <v>1</v>
      </c>
    </row>
    <row r="32" spans="1:21" x14ac:dyDescent="0.25">
      <c r="A32" s="2" t="s">
        <v>30</v>
      </c>
      <c r="B32">
        <f>SUMPRODUCT('4. STATIS Intra-struktur'!$B$46:$E$49, '4. STATIS Intra-struktur'!$B$52:$E$55)</f>
        <v>104.30339796474451</v>
      </c>
      <c r="C32">
        <f>SQRT(SUMSQ('4. STATIS Intra-struktur'!$B$46:$E$49))</f>
        <v>9.7748444775049972</v>
      </c>
      <c r="D32">
        <f>SQRT(SUMSQ('4. STATIS Intra-struktur'!$B$52:$E$55))</f>
        <v>10.733645574619008</v>
      </c>
      <c r="E32">
        <f t="shared" si="35"/>
        <v>104.91971616856056</v>
      </c>
      <c r="F32" s="2">
        <f t="shared" si="36"/>
        <v>0.99412581136965816</v>
      </c>
    </row>
    <row r="33" spans="1:21" x14ac:dyDescent="0.25">
      <c r="A33" s="2" t="s">
        <v>31</v>
      </c>
      <c r="B33">
        <f>SUMPRODUCT('4. STATIS Intra-struktur'!$B$52:$E$55, '4. STATIS Intra-struktur'!$B$40:$E$43)</f>
        <v>107.52627206827904</v>
      </c>
      <c r="C33">
        <f>SQRT(SUMSQ('4. STATIS Intra-struktur'!$B$52:$E$55))</f>
        <v>10.733645574619008</v>
      </c>
      <c r="D33">
        <f>SQRT(SUMSQ('4. STATIS Intra-struktur'!$B$40:$E$43))</f>
        <v>11.316261786823368</v>
      </c>
      <c r="E33">
        <f t="shared" si="35"/>
        <v>121.46474324936683</v>
      </c>
      <c r="F33" s="2">
        <f t="shared" si="36"/>
        <v>0.88524677360514281</v>
      </c>
    </row>
    <row r="34" spans="1:21" x14ac:dyDescent="0.25">
      <c r="A34" s="2" t="s">
        <v>32</v>
      </c>
      <c r="B34">
        <f>SUMPRODUCT('4. STATIS Intra-struktur'!$B$52:$E$55, '4. STATIS Intra-struktur'!$B$46:$E$49)</f>
        <v>104.30339796474451</v>
      </c>
      <c r="C34">
        <f>SQRT(SUMSQ('4. STATIS Intra-struktur'!$B$52:$E$55))</f>
        <v>10.733645574619008</v>
      </c>
      <c r="D34">
        <f>SQRT(SUMSQ('4. STATIS Intra-struktur'!$B$46:$E$49))</f>
        <v>9.7748444775049972</v>
      </c>
      <c r="E34">
        <f t="shared" si="35"/>
        <v>104.91971616856056</v>
      </c>
      <c r="F34" s="2">
        <f t="shared" si="36"/>
        <v>0.99412581136965816</v>
      </c>
    </row>
    <row r="35" spans="1:21" x14ac:dyDescent="0.25">
      <c r="A35" s="2" t="s">
        <v>33</v>
      </c>
      <c r="B35">
        <f>SUMPRODUCT('4. STATIS Intra-struktur'!$B$52:$E$55, '4. STATIS Intra-struktur'!$B$52:$E$55)</f>
        <v>115.21114732153822</v>
      </c>
      <c r="C35">
        <f>SQRT(SUMSQ('4. STATIS Intra-struktur'!$B$52:$E$55))</f>
        <v>10.733645574619008</v>
      </c>
      <c r="D35">
        <f>SQRT(SUMSQ('4. STATIS Intra-struktur'!$B$52:$E$55))</f>
        <v>10.733645574619008</v>
      </c>
      <c r="E35">
        <f t="shared" si="35"/>
        <v>115.21114732153821</v>
      </c>
      <c r="F35" s="2">
        <f t="shared" si="36"/>
        <v>1.0000000000000002</v>
      </c>
    </row>
    <row r="37" spans="1:21" x14ac:dyDescent="0.25">
      <c r="A37" s="1" t="s">
        <v>34</v>
      </c>
      <c r="M37">
        <f t="shared" ref="M37:U37" si="37">SQRT(M38)</f>
        <v>4.8260340825247594</v>
      </c>
      <c r="N37">
        <f t="shared" si="37"/>
        <v>0.55533951862419872</v>
      </c>
      <c r="O37">
        <f t="shared" si="37"/>
        <v>1</v>
      </c>
      <c r="P37">
        <f t="shared" si="37"/>
        <v>0.20720947736797704</v>
      </c>
      <c r="Q37">
        <f t="shared" si="37"/>
        <v>4.2935767511110189E-2</v>
      </c>
      <c r="R37">
        <f t="shared" si="37"/>
        <v>8.896697946370111E-3</v>
      </c>
      <c r="S37">
        <f t="shared" si="37"/>
        <v>1.8434801317681053E-3</v>
      </c>
      <c r="T37">
        <f t="shared" si="37"/>
        <v>3.8198655464191856E-4</v>
      </c>
      <c r="U37">
        <f t="shared" si="37"/>
        <v>7.9151234348946148E-5</v>
      </c>
    </row>
    <row r="38" spans="1:21" x14ac:dyDescent="0.25">
      <c r="A38" s="1" t="s">
        <v>36</v>
      </c>
      <c r="M38">
        <f t="shared" ref="M38:U38" si="38">SUMSQ(_xlfn.ANCHORARRAY(M39))</f>
        <v>23.290604965690598</v>
      </c>
      <c r="N38">
        <f t="shared" si="38"/>
        <v>0.30840198094575677</v>
      </c>
      <c r="O38">
        <f t="shared" si="38"/>
        <v>1</v>
      </c>
      <c r="P38">
        <f t="shared" si="38"/>
        <v>4.2935767511110189E-2</v>
      </c>
      <c r="Q38">
        <f t="shared" si="38"/>
        <v>1.8434801317681051E-3</v>
      </c>
      <c r="R38">
        <f t="shared" si="38"/>
        <v>7.9151234348946148E-5</v>
      </c>
      <c r="S38">
        <f t="shared" si="38"/>
        <v>3.3984189962237508E-6</v>
      </c>
      <c r="T38">
        <f t="shared" si="38"/>
        <v>1.4591372792720343E-7</v>
      </c>
      <c r="U38">
        <f t="shared" si="38"/>
        <v>6.2649178989617929E-9</v>
      </c>
    </row>
    <row r="39" spans="1:21" x14ac:dyDescent="0.25">
      <c r="A39" s="2" t="s">
        <v>37</v>
      </c>
      <c r="B39">
        <f>SUMPRODUCT('4. STATIS Intra-struktur'!$B$59:$D$61, '4. STATIS Intra-struktur'!$B$59:$D$61)</f>
        <v>4.6998461442465498</v>
      </c>
      <c r="C39">
        <f>SQRT(SUMSQ('4. STATIS Intra-struktur'!$B$59:$D$61))</f>
        <v>2.1679128543939559</v>
      </c>
      <c r="D39">
        <f>SQRT(SUMSQ('4. STATIS Intra-struktur'!$B$59:$D$61))</f>
        <v>2.1679128543939559</v>
      </c>
      <c r="E39">
        <f>C39*D39</f>
        <v>4.6998461442465489</v>
      </c>
      <c r="F39" s="2">
        <f>B39/E39</f>
        <v>1.0000000000000002</v>
      </c>
      <c r="H39" s="2">
        <f>F39</f>
        <v>1.0000000000000002</v>
      </c>
      <c r="I39" s="2">
        <f>F40</f>
        <v>0.85762366280578384</v>
      </c>
      <c r="J39" s="2">
        <f>F41</f>
        <v>0.8224637814474921</v>
      </c>
      <c r="L39">
        <v>1</v>
      </c>
      <c r="M39" cm="1">
        <f t="array" ref="M39:M41">MMULT(H39:J41,L39:L41)</f>
        <v>2.6800874442532763</v>
      </c>
      <c r="N39">
        <f t="shared" ref="N39:O41" si="39">M39/M$37</f>
        <v>0.55533951862419872</v>
      </c>
      <c r="O39">
        <f t="shared" si="39"/>
        <v>1</v>
      </c>
      <c r="P39">
        <f t="shared" ref="P39:U41" si="40">O39/$M$37</f>
        <v>0.20720947736797704</v>
      </c>
      <c r="Q39">
        <f t="shared" si="40"/>
        <v>4.2935767511110189E-2</v>
      </c>
      <c r="R39">
        <f t="shared" si="40"/>
        <v>8.896697946370111E-3</v>
      </c>
      <c r="S39">
        <f t="shared" si="40"/>
        <v>1.8434801317681053E-3</v>
      </c>
      <c r="T39">
        <f t="shared" si="40"/>
        <v>3.8198655464191856E-4</v>
      </c>
      <c r="U39">
        <f t="shared" si="40"/>
        <v>7.9151234348946148E-5</v>
      </c>
    </row>
    <row r="40" spans="1:21" x14ac:dyDescent="0.25">
      <c r="A40" s="2" t="s">
        <v>38</v>
      </c>
      <c r="B40">
        <f>SUMPRODUCT('4. STATIS Intra-struktur'!$B$59:$D$61, '4. STATIS Intra-struktur'!$B$64:$D$66)</f>
        <v>4.6780060570600819</v>
      </c>
      <c r="C40">
        <f>SQRT(SUMSQ('4. STATIS Intra-struktur'!$B$59:$D$61))</f>
        <v>2.1679128543939559</v>
      </c>
      <c r="D40">
        <f>SQRT(SUMSQ('4. STATIS Intra-struktur'!$B$64:$D$66))</f>
        <v>2.5160670140953307</v>
      </c>
      <c r="E40">
        <f t="shared" ref="E40:E47" si="41">C40*D40</f>
        <v>5.4546140223738862</v>
      </c>
      <c r="F40" s="2">
        <f t="shared" ref="F40" si="42">B40/E40</f>
        <v>0.85762366280578384</v>
      </c>
      <c r="H40" s="2">
        <f>F42</f>
        <v>0.85762366280578384</v>
      </c>
      <c r="I40" s="2">
        <f>F43</f>
        <v>1.0000000000000002</v>
      </c>
      <c r="J40" s="2">
        <f>F44</f>
        <v>0.99783560478438982</v>
      </c>
      <c r="L40">
        <v>1</v>
      </c>
      <c r="M40">
        <v>2.8554592675901738</v>
      </c>
      <c r="N40">
        <f t="shared" si="39"/>
        <v>0.59167822248290647</v>
      </c>
      <c r="O40">
        <f t="shared" si="39"/>
        <v>1.0654351124672947</v>
      </c>
      <c r="P40">
        <f t="shared" si="40"/>
        <v>0.22076825282383999</v>
      </c>
      <c r="Q40">
        <f t="shared" si="40"/>
        <v>4.5745274287069308E-2</v>
      </c>
      <c r="R40">
        <f t="shared" si="40"/>
        <v>9.4788543770783894E-3</v>
      </c>
      <c r="S40">
        <f t="shared" si="40"/>
        <v>1.9641084615215749E-3</v>
      </c>
      <c r="T40">
        <f t="shared" si="40"/>
        <v>4.0698188780590697E-4</v>
      </c>
      <c r="U40">
        <f t="shared" si="40"/>
        <v>8.4330504270494652E-5</v>
      </c>
    </row>
    <row r="41" spans="1:21" x14ac:dyDescent="0.25">
      <c r="A41" s="2" t="s">
        <v>39</v>
      </c>
      <c r="B41">
        <f>SUMPRODUCT('4. STATIS Intra-struktur'!$B$59:$D$61, '4. STATIS Intra-struktur'!$B$69:$D$71)</f>
        <v>4.646682681066908</v>
      </c>
      <c r="C41">
        <f>SQRT(SUMSQ('4. STATIS Intra-struktur'!$B$59:$D$61))</f>
        <v>2.1679128543939559</v>
      </c>
      <c r="D41">
        <f>SQRT(SUMSQ('4. STATIS Intra-struktur'!$B$69:$D$71))</f>
        <v>2.606060016748557</v>
      </c>
      <c r="E41">
        <f t="shared" si="41"/>
        <v>5.649711009631325</v>
      </c>
      <c r="F41" s="2">
        <f>B41/E41</f>
        <v>0.8224637814474921</v>
      </c>
      <c r="H41" s="2">
        <f>F45</f>
        <v>0.8224637814474921</v>
      </c>
      <c r="I41" s="2">
        <f>F46</f>
        <v>0.99783560478438982</v>
      </c>
      <c r="J41" s="2">
        <f>F47</f>
        <v>0.99999999999999989</v>
      </c>
      <c r="L41">
        <v>1</v>
      </c>
      <c r="M41">
        <v>2.8202993862318819</v>
      </c>
      <c r="N41">
        <f t="shared" si="39"/>
        <v>0.58439276184233468</v>
      </c>
      <c r="O41">
        <f t="shared" si="39"/>
        <v>1.0523161818019229</v>
      </c>
      <c r="P41">
        <f t="shared" si="40"/>
        <v>0.21804988605704156</v>
      </c>
      <c r="Q41">
        <f t="shared" si="40"/>
        <v>4.5182002930026527E-2</v>
      </c>
      <c r="R41">
        <f t="shared" si="40"/>
        <v>9.3621392135692042E-3</v>
      </c>
      <c r="S41">
        <f t="shared" si="40"/>
        <v>1.9399239734899185E-3</v>
      </c>
      <c r="T41">
        <f t="shared" si="40"/>
        <v>4.0197063268045536E-4</v>
      </c>
      <c r="U41">
        <f t="shared" si="40"/>
        <v>8.3292124714992228E-5</v>
      </c>
    </row>
    <row r="42" spans="1:21" x14ac:dyDescent="0.25">
      <c r="A42" s="2" t="s">
        <v>40</v>
      </c>
      <c r="B42">
        <f>SUMPRODUCT('4. STATIS Intra-struktur'!$B$64:$D$66, '4. STATIS Intra-struktur'!$B$59:$D$61)</f>
        <v>4.6780060570600819</v>
      </c>
      <c r="C42">
        <f>SQRT(SUMSQ('4. STATIS Intra-struktur'!$B$64:$D$66))</f>
        <v>2.5160670140953307</v>
      </c>
      <c r="D42">
        <f>SQRT(SUMSQ('4. STATIS Intra-struktur'!$B$59:$D$61))</f>
        <v>2.1679128543939559</v>
      </c>
      <c r="E42">
        <f t="shared" si="41"/>
        <v>5.4546140223738862</v>
      </c>
      <c r="F42" s="2">
        <f t="shared" ref="F42:F47" si="43">B42/E42</f>
        <v>0.85762366280578384</v>
      </c>
      <c r="M42">
        <f>SUM(M39:M41)</f>
        <v>8.3558460980753324</v>
      </c>
      <c r="N42">
        <f>SUM(N39:N41)</f>
        <v>1.7314105029494398</v>
      </c>
      <c r="O42">
        <f>SUM(O39:O41)</f>
        <v>3.117751294269218</v>
      </c>
      <c r="P42">
        <f>SUM(P39:P41)</f>
        <v>0.64602761624885863</v>
      </c>
      <c r="Q42">
        <f>SUM(Q39:Q41)</f>
        <v>0.13386304472820604</v>
      </c>
      <c r="R42">
        <f t="shared" ref="R42:U42" si="44">SUM(R39:R41)</f>
        <v>2.7737691537017703E-2</v>
      </c>
      <c r="S42">
        <f t="shared" si="44"/>
        <v>5.7475125667795987E-3</v>
      </c>
      <c r="T42">
        <f t="shared" si="44"/>
        <v>1.1909390751282808E-3</v>
      </c>
      <c r="U42">
        <f t="shared" si="44"/>
        <v>2.4677386333443301E-4</v>
      </c>
    </row>
    <row r="43" spans="1:21" x14ac:dyDescent="0.25">
      <c r="A43" s="2" t="s">
        <v>41</v>
      </c>
      <c r="B43">
        <f>SUMPRODUCT('4. STATIS Intra-struktur'!$B$64:$D$66, '4. STATIS Intra-struktur'!$B$64:$D$66)</f>
        <v>6.3305932194185939</v>
      </c>
      <c r="C43">
        <f>SQRT(SUMSQ('4. STATIS Intra-struktur'!$B$64:$D$66))</f>
        <v>2.5160670140953307</v>
      </c>
      <c r="D43">
        <f>SQRT(SUMSQ('4. STATIS Intra-struktur'!$B$64:$D$66))</f>
        <v>2.5160670140953307</v>
      </c>
      <c r="E43">
        <f t="shared" si="41"/>
        <v>6.330593219418593</v>
      </c>
      <c r="F43" s="2">
        <f t="shared" si="43"/>
        <v>1.0000000000000002</v>
      </c>
    </row>
    <row r="44" spans="1:21" x14ac:dyDescent="0.25">
      <c r="A44" s="2" t="s">
        <v>42</v>
      </c>
      <c r="B44">
        <f>SUMPRODUCT('4. STATIS Intra-struktur'!$B$64:$D$66, '4. STATIS Intra-struktur'!$B$69:$D$71)</f>
        <v>6.5428296586169088</v>
      </c>
      <c r="C44">
        <f>SQRT(SUMSQ('4. STATIS Intra-struktur'!$B$64:$D$66))</f>
        <v>2.5160670140953307</v>
      </c>
      <c r="D44">
        <f>SQRT(SUMSQ('4. STATIS Intra-struktur'!$B$69:$D$71))</f>
        <v>2.606060016748557</v>
      </c>
      <c r="E44">
        <f t="shared" si="41"/>
        <v>6.5570216448937693</v>
      </c>
      <c r="F44" s="2">
        <f t="shared" si="43"/>
        <v>0.99783560478438982</v>
      </c>
    </row>
    <row r="45" spans="1:21" x14ac:dyDescent="0.25">
      <c r="A45" s="2" t="s">
        <v>43</v>
      </c>
      <c r="B45">
        <f>SUMPRODUCT('4. STATIS Intra-struktur'!$B$69:$D$71, '4. STATIS Intra-struktur'!$B$59:$D$61)</f>
        <v>4.646682681066908</v>
      </c>
      <c r="C45">
        <f>SQRT(SUMSQ('4. STATIS Intra-struktur'!$B$69:$D$71))</f>
        <v>2.606060016748557</v>
      </c>
      <c r="D45">
        <f>SQRT(SUMSQ('4. STATIS Intra-struktur'!$B$59:$D$61))</f>
        <v>2.1679128543939559</v>
      </c>
      <c r="E45">
        <f t="shared" si="41"/>
        <v>5.649711009631325</v>
      </c>
      <c r="F45" s="2">
        <f t="shared" si="43"/>
        <v>0.8224637814474921</v>
      </c>
    </row>
    <row r="46" spans="1:21" x14ac:dyDescent="0.25">
      <c r="A46" s="2" t="s">
        <v>44</v>
      </c>
      <c r="B46">
        <f>SUMPRODUCT('4. STATIS Intra-struktur'!$B$69:$D$71, '4. STATIS Intra-struktur'!$B$64:$D$66)</f>
        <v>6.5428296586169088</v>
      </c>
      <c r="C46">
        <f>SQRT(SUMSQ('4. STATIS Intra-struktur'!$B$69:$D$71))</f>
        <v>2.606060016748557</v>
      </c>
      <c r="D46">
        <f>SQRT(SUMSQ('4. STATIS Intra-struktur'!$B$64:$D$66))</f>
        <v>2.5160670140953307</v>
      </c>
      <c r="E46">
        <f t="shared" si="41"/>
        <v>6.5570216448937693</v>
      </c>
      <c r="F46" s="2">
        <f t="shared" si="43"/>
        <v>0.99783560478438982</v>
      </c>
    </row>
    <row r="47" spans="1:21" x14ac:dyDescent="0.25">
      <c r="A47" s="2" t="s">
        <v>45</v>
      </c>
      <c r="B47">
        <f>SUMPRODUCT('4. STATIS Intra-struktur'!$B$69:$D$71, '4. STATIS Intra-struktur'!$B$69:$D$71)</f>
        <v>6.7915488108954882</v>
      </c>
      <c r="C47">
        <f>SQRT(SUMSQ('4. STATIS Intra-struktur'!$B$69:$D$71))</f>
        <v>2.606060016748557</v>
      </c>
      <c r="D47">
        <f>SQRT(SUMSQ('4. STATIS Intra-struktur'!$B$69:$D$71))</f>
        <v>2.606060016748557</v>
      </c>
      <c r="E47">
        <f t="shared" si="41"/>
        <v>6.7915488108954891</v>
      </c>
      <c r="F47" s="2">
        <f t="shared" si="43"/>
        <v>0.99999999999999989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Lembar kerja</vt:lpstr>
      </vt:variant>
      <vt:variant>
        <vt:i4>6</vt:i4>
      </vt:variant>
    </vt:vector>
  </HeadingPairs>
  <TitlesOfParts>
    <vt:vector size="6" baseType="lpstr">
      <vt:lpstr>1. Data Original</vt:lpstr>
      <vt:lpstr>Lembar1</vt:lpstr>
      <vt:lpstr>2. Statistika Deskriptif</vt:lpstr>
      <vt:lpstr>3. Standardisasi Z-Score</vt:lpstr>
      <vt:lpstr>4. STATIS Intra-struktur</vt:lpstr>
      <vt:lpstr>5. STATIS Inter-struktur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Ammar Hanafi</cp:lastModifiedBy>
  <dcterms:created xsi:type="dcterms:W3CDTF">2026-04-08T00:18:01Z</dcterms:created>
  <dcterms:modified xsi:type="dcterms:W3CDTF">2026-05-25T14:49:09Z</dcterms:modified>
</cp:coreProperties>
</file>